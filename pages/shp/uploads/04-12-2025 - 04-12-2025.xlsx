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0 DATA SRI\EKSPORT\Laporan Penjualan\2025\12. DESEMBER\"/>
    </mc:Choice>
  </mc:AlternateContent>
  <bookViews>
    <workbookView xWindow="0" yWindow="0" windowWidth="20490" windowHeight="7650" firstSheet="2" activeTab="7"/>
  </bookViews>
  <sheets>
    <sheet name="HEADER" sheetId="1" r:id="rId1"/>
    <sheet name="ENTITAS" sheetId="2" r:id="rId2"/>
    <sheet name="DOKUMEN" sheetId="3" r:id="rId3"/>
    <sheet name="PENGANGKUT" sheetId="4" r:id="rId4"/>
    <sheet name="KEMASAN" sheetId="5" r:id="rId5"/>
    <sheet name="KONTAINER" sheetId="6" r:id="rId6"/>
    <sheet name="KOMPONENBIAYA" sheetId="7" r:id="rId7"/>
    <sheet name="BARANG" sheetId="8" r:id="rId8"/>
    <sheet name="BARANGTARIF" sheetId="9" r:id="rId9"/>
    <sheet name="BARANGDOKUMEN" sheetId="10" r:id="rId10"/>
    <sheet name="BARANGENTITAS" sheetId="11" r:id="rId11"/>
    <sheet name="BARANGSPEKKHUSUS" sheetId="12" r:id="rId12"/>
    <sheet name="BARANGVD" sheetId="13" r:id="rId13"/>
    <sheet name="BAHANBAKU" sheetId="14" r:id="rId14"/>
    <sheet name="BAHANBAKUTARIF" sheetId="15" r:id="rId15"/>
    <sheet name="BAHANBAKUDOKUMEN" sheetId="16" r:id="rId16"/>
    <sheet name="PUNGUTAN" sheetId="17" r:id="rId17"/>
    <sheet name="JAMINAN" sheetId="18" r:id="rId18"/>
    <sheet name="BANKDEVISA" sheetId="19" r:id="rId19"/>
    <sheet name="VERSI" sheetId="20" r:id="rId20"/>
    <sheet name="RESPON" sheetId="21" r:id="rId21"/>
  </sheets>
  <calcPr calcId="162913"/>
</workbook>
</file>

<file path=xl/calcChain.xml><?xml version="1.0" encoding="utf-8"?>
<calcChain xmlns="http://schemas.openxmlformats.org/spreadsheetml/2006/main">
  <c r="AJ5" i="8" l="1"/>
</calcChain>
</file>

<file path=xl/sharedStrings.xml><?xml version="1.0" encoding="utf-8"?>
<sst xmlns="http://schemas.openxmlformats.org/spreadsheetml/2006/main" count="1624" uniqueCount="437">
  <si>
    <t>NOMOR AJU</t>
  </si>
  <si>
    <t>KODE DOKUMEN</t>
  </si>
  <si>
    <t>KODE KANTOR</t>
  </si>
  <si>
    <t>KODE KANTOR BONGKAR</t>
  </si>
  <si>
    <t>KODE KANTOR PERIKSA</t>
  </si>
  <si>
    <t>KODE KANTOR TUJUAN</t>
  </si>
  <si>
    <t>KODE KANTOR EKSPOR</t>
  </si>
  <si>
    <t>KODE JENIS IMPOR</t>
  </si>
  <si>
    <t>KODE JENIS EKSPOR</t>
  </si>
  <si>
    <t>KODE JENIS TPB</t>
  </si>
  <si>
    <t>KODE JENIS PLB</t>
  </si>
  <si>
    <t>KODE JENIS PROSEDUR</t>
  </si>
  <si>
    <t>KODE TUJUAN PEMASUKAN</t>
  </si>
  <si>
    <t>KODE TUJUAN PENGIRIMAN</t>
  </si>
  <si>
    <t>KODE TUJUAN TPB</t>
  </si>
  <si>
    <t>KODE CARA DAGANG</t>
  </si>
  <si>
    <t>KODE CARA BAYAR</t>
  </si>
  <si>
    <t>KODE CARA BAYAR LAINNYA</t>
  </si>
  <si>
    <t>KODE GUDANG ASAL</t>
  </si>
  <si>
    <t>KODE GUDANG TUJUAN</t>
  </si>
  <si>
    <t>KODE JENIS KIRIM</t>
  </si>
  <si>
    <t>KODE JENIS PENGIRIMAN</t>
  </si>
  <si>
    <t>KODE KATEGORI EKSPOR</t>
  </si>
  <si>
    <t>KODE KATEGORI MASUK FTZ</t>
  </si>
  <si>
    <t>KODE KATEGORI KELUAR FTZ</t>
  </si>
  <si>
    <t>KODE KATEGORI BARANG FTZ</t>
  </si>
  <si>
    <t>KODE LOKASI</t>
  </si>
  <si>
    <t>KODE LOKASI BAYAR</t>
  </si>
  <si>
    <t>LOKASI ASAL</t>
  </si>
  <si>
    <t>LOKASI TUJUAN</t>
  </si>
  <si>
    <t>KODE DAERAH ASAL</t>
  </si>
  <si>
    <t>KODE NEGARA TUJUAN</t>
  </si>
  <si>
    <t>KODE TUTUP PU</t>
  </si>
  <si>
    <t>NOMOR BC11</t>
  </si>
  <si>
    <t>TANGGAL BC11</t>
  </si>
  <si>
    <t>NOMOR POS</t>
  </si>
  <si>
    <t>NOMOR SUB POS</t>
  </si>
  <si>
    <t>KODE PELABUHAN BONGKAR</t>
  </si>
  <si>
    <t>KODE PELABUHAN MUAT</t>
  </si>
  <si>
    <t>KODE PELABUHAN MUAT AKHIR</t>
  </si>
  <si>
    <t>KODE PELABUHAN TRANSIT</t>
  </si>
  <si>
    <t>KODE PELABUHAN TUJUAN</t>
  </si>
  <si>
    <t>KODE PELABUHAN EKSPOR</t>
  </si>
  <si>
    <t>KODE TPS</t>
  </si>
  <si>
    <t>TANGGAL BERANGKAT</t>
  </si>
  <si>
    <t>TANGGAL EKSPOR</t>
  </si>
  <si>
    <t>TANGGAL MASUK</t>
  </si>
  <si>
    <t>TANGGAL MUAT</t>
  </si>
  <si>
    <t>TANGGAL TIBA</t>
  </si>
  <si>
    <t>TANGGAL PERIKSA</t>
  </si>
  <si>
    <t>TEMPAT STUFFING</t>
  </si>
  <si>
    <t>TANGGAL STUFFING</t>
  </si>
  <si>
    <t>KODE TANDA PENGAMAN</t>
  </si>
  <si>
    <t>JUMLAH TANDA PENGAMAN</t>
  </si>
  <si>
    <t>FLAG CURAH</t>
  </si>
  <si>
    <t>FLAG SDA</t>
  </si>
  <si>
    <t>FLAG VD</t>
  </si>
  <si>
    <t>FLAG AP BK</t>
  </si>
  <si>
    <t>FLAG MIGAS</t>
  </si>
  <si>
    <t>KODE ASURANSI</t>
  </si>
  <si>
    <t>ASURANSI</t>
  </si>
  <si>
    <t>NILAI BARANG</t>
  </si>
  <si>
    <t>NILAI INCOTERM</t>
  </si>
  <si>
    <t>NILAI MAKLON</t>
  </si>
  <si>
    <t>FREIGHT</t>
  </si>
  <si>
    <t>FOB</t>
  </si>
  <si>
    <t>BIAYA TAMBAHAN</t>
  </si>
  <si>
    <t>BIAYA PENGURANG</t>
  </si>
  <si>
    <t>VD</t>
  </si>
  <si>
    <t>CIF</t>
  </si>
  <si>
    <t>HARGA_PENYERAHAN</t>
  </si>
  <si>
    <t>NDPBM</t>
  </si>
  <si>
    <t>TOTAL DANA SAWIT</t>
  </si>
  <si>
    <t>DASAR PENGENAAN PAJAK</t>
  </si>
  <si>
    <t>NILAI JASA</t>
  </si>
  <si>
    <t>UANG MUKA</t>
  </si>
  <si>
    <t>BRUTO</t>
  </si>
  <si>
    <t>NETTO</t>
  </si>
  <si>
    <t>VOLUME</t>
  </si>
  <si>
    <t>KOTA PERNYATAAN</t>
  </si>
  <si>
    <t>TANGGAL PERNYATAAN</t>
  </si>
  <si>
    <t>NAMA PERNYATAAN</t>
  </si>
  <si>
    <t>JABATAN PERNYATAAN</t>
  </si>
  <si>
    <t>KODE VALUTA</t>
  </si>
  <si>
    <t>KODE INCOTERM</t>
  </si>
  <si>
    <t>KODE JASA KENA PAJAK</t>
  </si>
  <si>
    <t>NOMOR BUKTI BAYAR</t>
  </si>
  <si>
    <t>TANGGAL BUKTI BAYAR</t>
  </si>
  <si>
    <t>KODE JENIS NILAI</t>
  </si>
  <si>
    <t>KODE KANTOR MUAT</t>
  </si>
  <si>
    <t>NOMOR DAFTAR</t>
  </si>
  <si>
    <t>TANGGAL DAFTAR</t>
  </si>
  <si>
    <t>KODE ASAL BARANG FTZ</t>
  </si>
  <si>
    <t>KODE TUJUAN PENGELUARAN</t>
  </si>
  <si>
    <t>PPN PAJAK</t>
  </si>
  <si>
    <t>PPNBM PAJAK</t>
  </si>
  <si>
    <t>TARIF PPN PAJAK</t>
  </si>
  <si>
    <t>TARIF PPNBM PAJAK</t>
  </si>
  <si>
    <t>BARANG TIDAK BERWUJUD</t>
  </si>
  <si>
    <t>KODE JENIS PENGELUARAN</t>
  </si>
  <si>
    <t>BARANG KIRIMAN</t>
  </si>
  <si>
    <t>FLAG KONSOL</t>
  </si>
  <si>
    <t>KODE JENIS PENGANGKUTAN</t>
  </si>
  <si>
    <t>FLAG PROPORSIONAL NETTO</t>
  </si>
  <si>
    <t>00003074540620251204001840</t>
  </si>
  <si>
    <t>30</t>
  </si>
  <si>
    <t>050100</t>
  </si>
  <si>
    <t>050500</t>
  </si>
  <si>
    <t>1</t>
  </si>
  <si>
    <t>15</t>
  </si>
  <si>
    <t>14</t>
  </si>
  <si>
    <t>41</t>
  </si>
  <si>
    <t>6</t>
  </si>
  <si>
    <t>TW</t>
  </si>
  <si>
    <t>110204</t>
  </si>
  <si>
    <t>2025-12-05</t>
  </si>
  <si>
    <t>0005</t>
  </si>
  <si>
    <t>01730000</t>
  </si>
  <si>
    <t>IDCGK</t>
  </si>
  <si>
    <t>TWTPE</t>
  </si>
  <si>
    <t>2025-12-11</t>
  </si>
  <si>
    <t>2025-12-04</t>
  </si>
  <si>
    <t>2</t>
  </si>
  <si>
    <t>LN</t>
  </si>
  <si>
    <t>BANDUNG</t>
  </si>
  <si>
    <t>YUS YULIUS</t>
  </si>
  <si>
    <t>MANAGER EXIM</t>
  </si>
  <si>
    <t>USD</t>
  </si>
  <si>
    <t>597848</t>
  </si>
  <si>
    <t>T</t>
  </si>
  <si>
    <t>00003074540620251204001832</t>
  </si>
  <si>
    <t>040300</t>
  </si>
  <si>
    <t>9</t>
  </si>
  <si>
    <t>US</t>
  </si>
  <si>
    <t>IDTPP</t>
  </si>
  <si>
    <t>USSAV</t>
  </si>
  <si>
    <t>DN</t>
  </si>
  <si>
    <t>EXW</t>
  </si>
  <si>
    <t>762615</t>
  </si>
  <si>
    <t>00003074540620251204001838</t>
  </si>
  <si>
    <t>USLAX</t>
  </si>
  <si>
    <t>763366</t>
  </si>
  <si>
    <t>00003074540620251204001836</t>
  </si>
  <si>
    <t>763260</t>
  </si>
  <si>
    <t>00003074540620251204001833</t>
  </si>
  <si>
    <t>762849</t>
  </si>
  <si>
    <t>00003074540620251204001834</t>
  </si>
  <si>
    <t>762899</t>
  </si>
  <si>
    <t>00003074540620251204001831</t>
  </si>
  <si>
    <t>LK</t>
  </si>
  <si>
    <t>LKCMB</t>
  </si>
  <si>
    <t>596185</t>
  </si>
  <si>
    <t>00003074540620251204001835</t>
  </si>
  <si>
    <t>763223</t>
  </si>
  <si>
    <t>00003074540620251204001837</t>
  </si>
  <si>
    <t>763320</t>
  </si>
  <si>
    <t>00003074540620251204001839</t>
  </si>
  <si>
    <t>CN</t>
  </si>
  <si>
    <t>03770000</t>
  </si>
  <si>
    <t>CNCAN</t>
  </si>
  <si>
    <t>597718</t>
  </si>
  <si>
    <t>KODE FASILITAS TARIF</t>
  </si>
  <si>
    <t>KODE JENIS PUNGUTAN</t>
  </si>
  <si>
    <t>NILAI PUNGUTAN</t>
  </si>
  <si>
    <t>NPWP BILLING</t>
  </si>
  <si>
    <t>SERI</t>
  </si>
  <si>
    <t>KODE ENTITAS</t>
  </si>
  <si>
    <t>KODE JENIS IDENTITAS</t>
  </si>
  <si>
    <t>NOMOR IDENTITAS</t>
  </si>
  <si>
    <t>NAMA ENTITAS</t>
  </si>
  <si>
    <t>ALAMAT ENTITAS</t>
  </si>
  <si>
    <t>NIB ENTITAS</t>
  </si>
  <si>
    <t>KODE JENIS API</t>
  </si>
  <si>
    <t>KODE STATUS</t>
  </si>
  <si>
    <t>NOMOR IJIN ENTITAS</t>
  </si>
  <si>
    <t>TANGGAL IJIN ENTITAS</t>
  </si>
  <si>
    <t>KODE NEGARA</t>
  </si>
  <si>
    <t>NIPER ENTITAS</t>
  </si>
  <si>
    <t>KODE KATEGORI KONSOLIDATOR</t>
  </si>
  <si>
    <t>KODE AFILIASI</t>
  </si>
  <si>
    <t>0745406926444000000000</t>
  </si>
  <si>
    <t>PT NIRWANA ALABARE GARMENT</t>
  </si>
  <si>
    <t>JALAN RAYA RANCAEKAEK MAJALAYA NO.289 001/007 SOLOKANJERUK, SOLOKANJERUK, BANDUNG, JAWA BARAT</t>
  </si>
  <si>
    <t>0220103231143</t>
  </si>
  <si>
    <t>3</t>
  </si>
  <si>
    <t>24</t>
  </si>
  <si>
    <t>7</t>
  </si>
  <si>
    <t>NIRWANA ALABARE GARMENT</t>
  </si>
  <si>
    <t>JL RAYA RANCAEKEK MAJALAYA NO.289, SOLOKANJERUK, SOLOKANJERUK, KAB. BANDUNG, JAWA BARAT, 14111</t>
  </si>
  <si>
    <t>23</t>
  </si>
  <si>
    <t>0013107743062000000000</t>
  </si>
  <si>
    <t>BIROTIKA SEMESTA</t>
  </si>
  <si>
    <t>MULIA BUSINESS PARK BLD F, JL MT. HARYONO KAV 58-60, PANCORAN, PANCORAN, KOTA ADM. JAKARTA SELATAN, DKI JAKARTA, 53201</t>
  </si>
  <si>
    <t>GREAT VIEW</t>
  </si>
  <si>
    <t>8F, NO.314, SEC. 1
NEIHU RD., NEIHU DIST., TAPEI CITY 114
TAIWAN (ROC)
TAIPEI CITY, 114</t>
  </si>
  <si>
    <t>8</t>
  </si>
  <si>
    <t>0926856451045000000000</t>
  </si>
  <si>
    <t>KBN PRIMA LOGISTIK</t>
  </si>
  <si>
    <t>GEDUNG MAWAR, JALAN RAYA CAKUNG CILINCING, TANJUNG PRIOK  RT.000 RW.000, SUKAPURA, CILINCING, KOTA ADMINISTRASI JAKARTA UTARA, DAERAH KHUSUS IBUKOTA JAKARTA</t>
  </si>
  <si>
    <t>02</t>
  </si>
  <si>
    <t>LAINNYA</t>
  </si>
  <si>
    <t>JL RAYA RANCAEKEK MAJALAYA NO.289 RT.002 RW.007, SOLOKANJERUK, SOLOKANJERUK, KABUPATEN BANDUNG, JAWA BARAT</t>
  </si>
  <si>
    <t>OLD NAVY, LLC</t>
  </si>
  <si>
    <t>2 FOLSOM STREET
SAN FRANCISCO, CALIFORNIA
94105</t>
  </si>
  <si>
    <t>13</t>
  </si>
  <si>
    <t>4</t>
  </si>
  <si>
    <t>000000000000000</t>
  </si>
  <si>
    <t>KANMAX ENTERPRISES LTD</t>
  </si>
  <si>
    <t>60 PAYA LEBAR ROAD #04-21 PAYA LEBAR SQUARE 409051 SINGAPORE</t>
  </si>
  <si>
    <t>SDC-0017</t>
  </si>
  <si>
    <t>100 GAP BOULEVARD
GALLATIN, TN
37066</t>
  </si>
  <si>
    <t>WESTERN OMNI WEO-0008</t>
  </si>
  <si>
    <t>3400 NORTH GAP DR
FRESNO, CA
93727</t>
  </si>
  <si>
    <t>LVO LONGVIEW OMNI-0047</t>
  </si>
  <si>
    <t>5401 MICKEY MELTON BLD
LONGVIEW, TX
75605</t>
  </si>
  <si>
    <t>FDC-0026</t>
  </si>
  <si>
    <t>3685 NORTH GAP DRIVE
FRESNO, CA
93727</t>
  </si>
  <si>
    <t>TEEJAY LANKA PLC</t>
  </si>
  <si>
    <t>BLOCK D8-14 SEETHAWAKA E.P.Z
,INDUSTRIAL PARK, AWISSAWELLA
10700 AVISSAWELLA  WESTERN PROVINCE</t>
  </si>
  <si>
    <t>GDI HK LIMITED</t>
  </si>
  <si>
    <t>NO. 60, LANGBAO WEST ROAD
ZHANGCHA STREET, FOSHAN CITY
GUANGDONG PROVINCE
528000 FOSHAN  GUANGDONG</t>
  </si>
  <si>
    <t>NOMOR DOKUMEN</t>
  </si>
  <si>
    <t>TANGGAL DOKUMEN</t>
  </si>
  <si>
    <t>KODE FASILITAS</t>
  </si>
  <si>
    <t>KODE IJIN</t>
  </si>
  <si>
    <t>920</t>
  </si>
  <si>
    <t>258/KM.4/WBC.09/2024</t>
  </si>
  <si>
    <t>2024-12-11</t>
  </si>
  <si>
    <t>380</t>
  </si>
  <si>
    <t>0091/E/NAG/1225</t>
  </si>
  <si>
    <t>217</t>
  </si>
  <si>
    <t>-</t>
  </si>
  <si>
    <t>740</t>
  </si>
  <si>
    <t>9073437122</t>
  </si>
  <si>
    <t>0076ENAG1225</t>
  </si>
  <si>
    <t>2025-12-03</t>
  </si>
  <si>
    <t>014504</t>
  </si>
  <si>
    <t>2025-04-22</t>
  </si>
  <si>
    <t>010371</t>
  </si>
  <si>
    <t>2025-03-18</t>
  </si>
  <si>
    <t>013900</t>
  </si>
  <si>
    <t>2025-04-17</t>
  </si>
  <si>
    <t>0082ENAG1225</t>
  </si>
  <si>
    <t>035213</t>
  </si>
  <si>
    <t>2025-09-04</t>
  </si>
  <si>
    <t>0080ENAG1225</t>
  </si>
  <si>
    <t>039402</t>
  </si>
  <si>
    <t>2025-10-01</t>
  </si>
  <si>
    <t>039518</t>
  </si>
  <si>
    <t>2025-10-02</t>
  </si>
  <si>
    <t>0077ENAG1225</t>
  </si>
  <si>
    <t>0078ENAG1225</t>
  </si>
  <si>
    <t>038457</t>
  </si>
  <si>
    <t>2025-09-26</t>
  </si>
  <si>
    <t>0083/E/NAG/1225</t>
  </si>
  <si>
    <t>6103241944</t>
  </si>
  <si>
    <t>630</t>
  </si>
  <si>
    <t>OFC/OUT/1225/00500</t>
  </si>
  <si>
    <t>0079ENAG1225</t>
  </si>
  <si>
    <t>040417</t>
  </si>
  <si>
    <t>2025-10-08</t>
  </si>
  <si>
    <t>0081ENAG1225</t>
  </si>
  <si>
    <t>0090/E/NAG/1225</t>
  </si>
  <si>
    <t>7730162672</t>
  </si>
  <si>
    <t>KODE CARA ANGKUT</t>
  </si>
  <si>
    <t>NAMA PENGANGKUT</t>
  </si>
  <si>
    <t>NOMOR PENGANGKUT</t>
  </si>
  <si>
    <t>KODE BENDERA</t>
  </si>
  <si>
    <t>CALL SIGN</t>
  </si>
  <si>
    <t>FLAG ANGKUT PLB</t>
  </si>
  <si>
    <t>CARA PENGANGKUTAN LAINNYA</t>
  </si>
  <si>
    <t>K - MILE AIR</t>
  </si>
  <si>
    <t>8K0801</t>
  </si>
  <si>
    <t>TH</t>
  </si>
  <si>
    <t>MAERSK VICTORIA</t>
  </si>
  <si>
    <t>VV 550N</t>
  </si>
  <si>
    <t>SG</t>
  </si>
  <si>
    <t>KODE KEMASAN</t>
  </si>
  <si>
    <t>JUMLAH KEMASAN</t>
  </si>
  <si>
    <t>MEREK</t>
  </si>
  <si>
    <t>PK</t>
  </si>
  <si>
    <t>CT</t>
  </si>
  <si>
    <t>OLD NAVY</t>
  </si>
  <si>
    <t>NOMOR KONTINER</t>
  </si>
  <si>
    <t>KODE UKURAN KONTAINER</t>
  </si>
  <si>
    <t>KODE JENIS KONTAINER</t>
  </si>
  <si>
    <t>KODE TIPE KONTAINER</t>
  </si>
  <si>
    <t>SERI BARANG</t>
  </si>
  <si>
    <t>HS</t>
  </si>
  <si>
    <t>KODE BARANG</t>
  </si>
  <si>
    <t>URAIAN</t>
  </si>
  <si>
    <t>TIPE</t>
  </si>
  <si>
    <t>UKURAN</t>
  </si>
  <si>
    <t>SPESIFIKASI LAIN</t>
  </si>
  <si>
    <t>KODE SATUAN</t>
  </si>
  <si>
    <t>JUMLAH SATUAN</t>
  </si>
  <si>
    <t>KODE DOKUMEN ASAL</t>
  </si>
  <si>
    <t>KODE KANTOR ASAL</t>
  </si>
  <si>
    <t>NOMOR DAFTAR ASAL</t>
  </si>
  <si>
    <t>TANGGAL DAFTAR ASAL</t>
  </si>
  <si>
    <t>NOMOR AJU ASAL</t>
  </si>
  <si>
    <t>SERI BARANG ASAL</t>
  </si>
  <si>
    <t>SALDO AWAL</t>
  </si>
  <si>
    <t>SALDO AKHIR</t>
  </si>
  <si>
    <t>JUMLAH REALISASI</t>
  </si>
  <si>
    <t>CIF RUPIAH</t>
  </si>
  <si>
    <t>NILAI TAMBAH</t>
  </si>
  <si>
    <t>DISKON</t>
  </si>
  <si>
    <t>HARGA PENYERAHAN</t>
  </si>
  <si>
    <t>HARGA PEROLEHAN</t>
  </si>
  <si>
    <t>HARGA SATUAN</t>
  </si>
  <si>
    <t>HARGA EKSPOR</t>
  </si>
  <si>
    <t>HARGA PATOKAN</t>
  </si>
  <si>
    <t>NILAI DANA SAWIT</t>
  </si>
  <si>
    <t>NILAI DEVISA</t>
  </si>
  <si>
    <t>PERSENTASE IMPOR</t>
  </si>
  <si>
    <t>KODE ASAL BARANG</t>
  </si>
  <si>
    <t>KODE GUNA BARANG</t>
  </si>
  <si>
    <t>JATUH TEMPO ROYALTI</t>
  </si>
  <si>
    <t>KODE KATEGORI BARANG</t>
  </si>
  <si>
    <t>KODE KONDISI BARANG</t>
  </si>
  <si>
    <t>KODE NEGARA ASAL</t>
  </si>
  <si>
    <t>KODE PERHITUNGAN</t>
  </si>
  <si>
    <t>PERNYATAAN LARTAS</t>
  </si>
  <si>
    <t>FLAG 4 TAHUN</t>
  </si>
  <si>
    <t>SERI IZIN</t>
  </si>
  <si>
    <t>TAHUN PEMBUATAN</t>
  </si>
  <si>
    <t>KAPASITAS SILINDER</t>
  </si>
  <si>
    <t>KODE BKC</t>
  </si>
  <si>
    <t>KODE KOMODITI BKC</t>
  </si>
  <si>
    <t>KODE SUB KOMODITI BKC</t>
  </si>
  <si>
    <t>FLAG TIS</t>
  </si>
  <si>
    <t>ISI PER KEMASAN</t>
  </si>
  <si>
    <t>JUMLAH DILEKATKAN</t>
  </si>
  <si>
    <t>JUMLAH PITA CUKAI</t>
  </si>
  <si>
    <t>HJE CUKAI</t>
  </si>
  <si>
    <t>TARIF CUKAI</t>
  </si>
  <si>
    <t>METODE PENENTUAN NILAI</t>
  </si>
  <si>
    <t>ALASAN METODE PENENTUAN NILAI</t>
  </si>
  <si>
    <t>STATEMENT PERBEDAAN HARGA</t>
  </si>
  <si>
    <t>62019090</t>
  </si>
  <si>
    <t>GRV/0825/001</t>
  </si>
  <si>
    <t>JACKET SAMPLE GARMENT
(JUMP SIZE SET)</t>
  </si>
  <si>
    <t>PCE</t>
  </si>
  <si>
    <t>3204</t>
  </si>
  <si>
    <t>ID</t>
  </si>
  <si>
    <t>61102000</t>
  </si>
  <si>
    <t>KNM/0425/024</t>
  </si>
  <si>
    <t>T-SHIRT SHORT SLEEVE
PO : 61276802 S : 867788 GIRLS COTTON FIBERS, KNIT PULLOVER 60% COTTON 40% RECYCLED POLYESTER, COLOR : BLACKJACK JAS, BLUSH HUE</t>
  </si>
  <si>
    <t>T-SHIRT SHORT SLEEVE
PO : 61276802 S : 867788 GIRLS COTTON FIBERS, KNIT PULLOVER 60% COTTON 40% RECYCLED POLYESTER, COLOR : CALLA LILY 451</t>
  </si>
  <si>
    <t>61142000</t>
  </si>
  <si>
    <t>KNM/0925/068</t>
  </si>
  <si>
    <t>T-SHIRT SHORT SLEEVE
PO : 60561325 S : 878749 A MULTY PACK OF 3 PIECES OF GIRLS COTTON FIBERS, KNIT PULLOVER 60% COTTON 40% POLYESTER, COLOR : SOLID PACK</t>
  </si>
  <si>
    <t>KNM/1025/082</t>
  </si>
  <si>
    <t>TANKTOP
PO : 60639107 S : 885934 GIRLS COTTON FIBERS, KNIT OTHER TOP 96% COTTON 4% SPANDEX, COLOR : LILAC ICE, PASTEL PINK</t>
  </si>
  <si>
    <t>TANKTOP
PO : 60639107 S : 885934 GIRLS COTTON FIBERS, KNIT OTHER TOP 96% COTTON 4% SPANDEX, COLOR : CALLALILY 451, BLACK JACK</t>
  </si>
  <si>
    <t>T-SHIRT SHORT SLEEVE
PO : 61276804 S : 867788 GIRLS COTTON FIBERS, KNIT PULLOVER 60% COTTON 40% RECYCLED POLYESTER, COLOR : CALLA LILY 451</t>
  </si>
  <si>
    <t>T-SHIRT SHORT SLEEVE
PO : 61276804 S : 867788 GIRLS COTTON FIBERS, KNIT PULLOVER 60% COTTON 40% RECYCLED POLYESTER, COLOR : BLACKJACK JAS, BLUSH HUE</t>
  </si>
  <si>
    <t>KNM/0925/071</t>
  </si>
  <si>
    <t>T-SHIRT SHORT SLEEVE
PO : 60638817 S : 867788 GIRLS COTTON FIBERS, KNIT PULLOVER 60% COTTON 40% RECYCLED POLYESTER, COLOR : BLACKKACK JAS</t>
  </si>
  <si>
    <t>T-SHIRT SHORT SLEEVE
PO : 60638817 S : 867788 GIRLS COTTON FIBERS, KNIT PULLOVER 60% COTTON 40% RECYCLED POLYESTER, COLOR : CALLA LILY 451</t>
  </si>
  <si>
    <t>54071099</t>
  </si>
  <si>
    <t>KN_1_KM_16</t>
  </si>
  <si>
    <t>FABRIC SAMPLE
(SINGLE JERSEY 54% COTTON 36% MODAL 10% SPANDEX)</t>
  </si>
  <si>
    <t>YRD</t>
  </si>
  <si>
    <t>KNM/1025/084</t>
  </si>
  <si>
    <t>T-SHIRT SHORT SLEEVE
PO : 60638856 S : 884854 GIRLS COTTON FIBERS, KNIT PULLOVER 60% COTTON 40% POLYESTER, COLOR : WHITE CHECK</t>
  </si>
  <si>
    <t>T-SHIRT SHORT SLEEVE
PO : 60638856 S : 884854 GIRLS COTTON FIBERS, KNIT PULLOVER 60% COTTON 40% POLYESTER, COLOR : CALLA LILY 451</t>
  </si>
  <si>
    <t>KNM/1025/085</t>
  </si>
  <si>
    <t>T-SHIRT SHORT SLEEVE
PO : 60656961 S : 884854 GIRLS COTTON FIBERS, KNIT PULLOVER 60% COTTON 40% POLYESTER, COLOR : LILAC SHADOW</t>
  </si>
  <si>
    <t>T-SHIRT SHORT SLEEVE
PO : 60656961 S : 884854 GIRLS COTTON FIBERS, KNIT PULLOVER 60% COTTON 40% POLYESTER, COLOR : WHITE CHECK</t>
  </si>
  <si>
    <t>60062200</t>
  </si>
  <si>
    <t>1473</t>
  </si>
  <si>
    <t>FABRIC SAMPLE
(OLD NAVY GIRLS SPRING 26,REF255K0106 STYLE 867788,REF255K0107 STYLE 845865,REF255K0110 STYLE 884854,OLD NAVY BOYS SPRING 26
REF255K0124 STYLE 766950)</t>
  </si>
  <si>
    <t>KODE PUNGUTAN</t>
  </si>
  <si>
    <t>KODE TARIF</t>
  </si>
  <si>
    <t>TARIF</t>
  </si>
  <si>
    <t>TARIF FASILITAS</t>
  </si>
  <si>
    <t>NILAI BAYAR</t>
  </si>
  <si>
    <t>NILAI FASILITAS</t>
  </si>
  <si>
    <t>NILAI SUDAH DILUNASI</t>
  </si>
  <si>
    <t>FLAG BMT SEMENTARA</t>
  </si>
  <si>
    <t>KODE KOMODITI CUKAI</t>
  </si>
  <si>
    <t>KODE SUB KOMODITI CUKAI</t>
  </si>
  <si>
    <t>FLAG PELEKATAN</t>
  </si>
  <si>
    <t>SERI DOKUMEN</t>
  </si>
  <si>
    <t>SERI ENTITAS</t>
  </si>
  <si>
    <t>KODE</t>
  </si>
  <si>
    <t>KODE VD</t>
  </si>
  <si>
    <t>JATUH TEMPO</t>
  </si>
  <si>
    <t>SERI BAHAN BAKU</t>
  </si>
  <si>
    <t>KODE ASAL BAHAN BAKU</t>
  </si>
  <si>
    <t>VALUTA</t>
  </si>
  <si>
    <t>KODE_ASAL_BAHAN_BAKU</t>
  </si>
  <si>
    <t>KODE JAMINAN</t>
  </si>
  <si>
    <t>NOMOR JAMINAN</t>
  </si>
  <si>
    <t>TANGGAL JAMINAN</t>
  </si>
  <si>
    <t>NILAI JAMINAN</t>
  </si>
  <si>
    <t>PENJAMIN</t>
  </si>
  <si>
    <t>TANGGAL JATUH TEMPO</t>
  </si>
  <si>
    <t>NOMOR BPJ</t>
  </si>
  <si>
    <t>TANGGAL BPJ</t>
  </si>
  <si>
    <t>NAMA</t>
  </si>
  <si>
    <t>BANK BCA</t>
  </si>
  <si>
    <t>JENIS NILAI</t>
  </si>
  <si>
    <t>HARGA INVOICE</t>
  </si>
  <si>
    <t>PEMBAYARAN TIDAK LANGSUNG</t>
  </si>
  <si>
    <t>KOMISI PENJUALAN</t>
  </si>
  <si>
    <t>BIAYA PENGEMASAN</t>
  </si>
  <si>
    <t>BIAYA PENGEPAKAN</t>
  </si>
  <si>
    <t>ASSIST</t>
  </si>
  <si>
    <t>ROYALTI</t>
  </si>
  <si>
    <t>PROCEEDS</t>
  </si>
  <si>
    <t>BIAYA TRANSPORTASI</t>
  </si>
  <si>
    <t>BIAYA PEMUATAN</t>
  </si>
  <si>
    <t>GARANSI</t>
  </si>
  <si>
    <t>BIAYA KEPENTINGAN SENDIRI</t>
  </si>
  <si>
    <t>BIAYA PASCA IMPOR</t>
  </si>
  <si>
    <t>BIAYA PAJAK INTERNAL</t>
  </si>
  <si>
    <t>BUNGA</t>
  </si>
  <si>
    <t>DEVIDEN</t>
  </si>
  <si>
    <t>VERSI</t>
  </si>
  <si>
    <t>1.3</t>
  </si>
  <si>
    <t>KODE RESPON</t>
  </si>
  <si>
    <t>NOMOR RESPON</t>
  </si>
  <si>
    <t>TANGGAL RESPON</t>
  </si>
  <si>
    <t>3015</t>
  </si>
  <si>
    <t>595956/KPU.3/2025</t>
  </si>
  <si>
    <t>762795/PM/KPU.1/2025</t>
  </si>
  <si>
    <t>762745/PM/KPU.1/2025</t>
  </si>
  <si>
    <t>763261/PM/KPU.1/2025</t>
  </si>
  <si>
    <t>762512/PM/KPU.1/2025</t>
  </si>
  <si>
    <t>763156/PM/KPU.1/2025</t>
  </si>
  <si>
    <t>763215/PM/KPU.1/2025</t>
  </si>
  <si>
    <t>763119/PM/KPU.1/2025</t>
  </si>
  <si>
    <t>597639/KPU.3/2025</t>
  </si>
  <si>
    <t>597493/KPU.3/2025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</si>
</sst>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\-mm\-yyyy\ hh:mm:ss"/>
    <numFmt numFmtId="169" formatCode="0.00000000000000"/>
  </numFmts>
  <fonts count="2" x14ac:knownFonts="1">
    <font>
      <sz val="11"/>
      <color rgb="FF000000"/>
      <name val="Calibri"/>
    </font>
    <font>
      <b/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1" fillId="0" borderId="0" xfId="0" applyNumberFormat="1" applyFont="1"/>
    <xf numFmtId="0" fontId="1" fillId="0" borderId="0" xfId="0" applyFont="1"/>
    <xf numFmtId="16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DC11"/>
  <sheetViews>
    <sheetView workbookViewId="0"/>
  </sheetViews>
  <sheetFormatPr defaultRowHeight="15" x14ac:dyDescent="0.25"/>
  <cols>
    <col min="1" max="1" width="27.42578125" bestFit="1" customWidth="1"/>
    <col min="2" max="2" width="13.42578125" bestFit="1" customWidth="1"/>
    <col min="3" max="3" width="12.42578125" bestFit="1" customWidth="1"/>
    <col min="4" max="5" width="20.42578125" bestFit="1" customWidth="1"/>
    <col min="6" max="7" width="19.42578125" bestFit="1" customWidth="1"/>
    <col min="8" max="8" width="17.42578125" bestFit="1" customWidth="1"/>
    <col min="9" max="9" width="18.42578125" bestFit="1" customWidth="1"/>
    <col min="10" max="11" width="15.42578125" bestFit="1" customWidth="1"/>
    <col min="12" max="12" width="20.42578125" bestFit="1" customWidth="1"/>
    <col min="13" max="13" width="22.42578125" bestFit="1" customWidth="1"/>
    <col min="14" max="14" width="23.42578125" bestFit="1" customWidth="1"/>
    <col min="15" max="15" width="16.42578125" bestFit="1" customWidth="1"/>
    <col min="16" max="16" width="17.42578125" bestFit="1" customWidth="1"/>
    <col min="17" max="17" width="16.42578125" bestFit="1" customWidth="1"/>
    <col min="18" max="18" width="24.42578125" bestFit="1" customWidth="1"/>
    <col min="19" max="19" width="17.42578125" bestFit="1" customWidth="1"/>
    <col min="20" max="20" width="19.42578125" bestFit="1" customWidth="1"/>
    <col min="21" max="21" width="17.42578125" bestFit="1" customWidth="1"/>
    <col min="22" max="22" width="22.42578125" bestFit="1" customWidth="1"/>
    <col min="23" max="23" width="21.42578125" bestFit="1" customWidth="1"/>
    <col min="24" max="24" width="24.42578125" bestFit="1" customWidth="1"/>
    <col min="25" max="26" width="25.42578125" bestFit="1" customWidth="1"/>
    <col min="27" max="27" width="12.42578125" bestFit="1" customWidth="1"/>
    <col min="28" max="28" width="18.42578125" bestFit="1" customWidth="1"/>
    <col min="29" max="29" width="12.42578125" bestFit="1" customWidth="1"/>
    <col min="30" max="30" width="14.42578125" bestFit="1" customWidth="1"/>
    <col min="31" max="32" width="17.42578125" bestFit="1" customWidth="1"/>
    <col min="33" max="34" width="19.42578125" bestFit="1" customWidth="1"/>
    <col min="35" max="35" width="14.42578125" bestFit="1" customWidth="1"/>
    <col min="36" max="36" width="11.42578125" bestFit="1" customWidth="1"/>
    <col min="37" max="37" width="13.42578125" bestFit="1" customWidth="1"/>
    <col min="38" max="38" width="10.42578125" bestFit="1" customWidth="1"/>
    <col min="39" max="39" width="14.42578125" bestFit="1" customWidth="1"/>
    <col min="40" max="40" width="23.42578125" bestFit="1" customWidth="1"/>
    <col min="41" max="41" width="20.42578125" bestFit="1" customWidth="1"/>
    <col min="42" max="42" width="26.42578125" bestFit="1" customWidth="1"/>
    <col min="43" max="43" width="23.42578125" bestFit="1" customWidth="1"/>
    <col min="44" max="45" width="22.42578125" bestFit="1" customWidth="1"/>
    <col min="46" max="46" width="9.42578125" bestFit="1" customWidth="1"/>
    <col min="47" max="47" width="18.42578125" bestFit="1" customWidth="1"/>
    <col min="48" max="48" width="15.42578125" bestFit="1" customWidth="1"/>
    <col min="49" max="49" width="14.42578125" bestFit="1" customWidth="1"/>
    <col min="50" max="51" width="13.42578125" bestFit="1" customWidth="1"/>
    <col min="52" max="53" width="16.42578125" bestFit="1" customWidth="1"/>
    <col min="54" max="54" width="17.42578125" bestFit="1" customWidth="1"/>
    <col min="55" max="55" width="20.42578125" bestFit="1" customWidth="1"/>
    <col min="56" max="56" width="22.42578125" bestFit="1" customWidth="1"/>
    <col min="57" max="57" width="11.42578125" bestFit="1" customWidth="1"/>
    <col min="58" max="58" width="9.42578125" bestFit="1" customWidth="1"/>
    <col min="60" max="61" width="11.42578125" bestFit="1" customWidth="1"/>
    <col min="62" max="62" width="14.42578125" bestFit="1" customWidth="1"/>
    <col min="63" max="63" width="9.42578125" bestFit="1" customWidth="1"/>
    <col min="64" max="64" width="13.42578125" bestFit="1" customWidth="1"/>
    <col min="65" max="65" width="15.42578125" bestFit="1" customWidth="1"/>
    <col min="66" max="66" width="13.42578125" bestFit="1" customWidth="1"/>
    <col min="67" max="67" width="9.42578125" bestFit="1" customWidth="1"/>
    <col min="70" max="70" width="15.42578125" bestFit="1" customWidth="1"/>
    <col min="71" max="71" width="16.42578125" bestFit="1" customWidth="1"/>
    <col min="74" max="74" width="17.42578125" bestFit="1" customWidth="1"/>
    <col min="76" max="76" width="17.42578125" bestFit="1" customWidth="1"/>
    <col min="77" max="77" width="22.42578125" bestFit="1" customWidth="1"/>
    <col min="78" max="78" width="11.42578125" bestFit="1" customWidth="1"/>
    <col min="79" max="79" width="10.42578125" bestFit="1" customWidth="1"/>
    <col min="83" max="83" width="16.42578125" bestFit="1" customWidth="1"/>
    <col min="84" max="84" width="19.42578125" bestFit="1" customWidth="1"/>
    <col min="85" max="85" width="16.42578125" bestFit="1" customWidth="1"/>
    <col min="86" max="86" width="19.42578125" bestFit="1" customWidth="1"/>
    <col min="87" max="87" width="12.42578125" bestFit="1" customWidth="1"/>
    <col min="88" max="88" width="14.42578125" bestFit="1" customWidth="1"/>
    <col min="89" max="89" width="21.42578125" bestFit="1" customWidth="1"/>
    <col min="90" max="90" width="18.42578125" bestFit="1" customWidth="1"/>
    <col min="91" max="91" width="20.42578125" bestFit="1" customWidth="1"/>
    <col min="92" max="93" width="17.42578125" bestFit="1" customWidth="1"/>
    <col min="94" max="94" width="13.42578125" bestFit="1" customWidth="1"/>
    <col min="95" max="95" width="15.42578125" bestFit="1" customWidth="1"/>
    <col min="96" max="96" width="21.42578125" bestFit="1" customWidth="1"/>
    <col min="97" max="97" width="24.42578125" bestFit="1" customWidth="1"/>
    <col min="98" max="98" width="10.42578125" bestFit="1" customWidth="1"/>
    <col min="99" max="99" width="12.42578125" bestFit="1" customWidth="1"/>
    <col min="100" max="100" width="16.42578125" bestFit="1" customWidth="1"/>
    <col min="101" max="101" width="18.42578125" bestFit="1" customWidth="1"/>
    <col min="102" max="102" width="22.42578125" bestFit="1" customWidth="1"/>
    <col min="103" max="103" width="23.42578125" bestFit="1" customWidth="1"/>
    <col min="104" max="104" width="15.42578125" bestFit="1" customWidth="1"/>
    <col min="105" max="105" width="12.42578125" bestFit="1" customWidth="1"/>
    <col min="106" max="107" width="24.42578125" bestFit="1" customWidth="1"/>
  </cols>
  <sheetData>
    <row r="1" spans="1:107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18</v>
      </c>
      <c r="AG1" s="1" t="s">
        <v>19</v>
      </c>
      <c r="AH1" s="1" t="s">
        <v>31</v>
      </c>
      <c r="AI1" s="1" t="s">
        <v>32</v>
      </c>
      <c r="AJ1" s="1" t="s">
        <v>33</v>
      </c>
      <c r="AK1" s="1" t="s">
        <v>34</v>
      </c>
      <c r="AL1" s="1" t="s">
        <v>35</v>
      </c>
      <c r="AM1" s="1" t="s">
        <v>36</v>
      </c>
      <c r="AN1" s="1" t="s">
        <v>37</v>
      </c>
      <c r="AO1" s="1" t="s">
        <v>38</v>
      </c>
      <c r="AP1" s="1" t="s">
        <v>39</v>
      </c>
      <c r="AQ1" s="1" t="s">
        <v>40</v>
      </c>
      <c r="AR1" s="1" t="s">
        <v>41</v>
      </c>
      <c r="AS1" s="1" t="s">
        <v>42</v>
      </c>
      <c r="AT1" s="1" t="s">
        <v>43</v>
      </c>
      <c r="AU1" s="1" t="s">
        <v>44</v>
      </c>
      <c r="AV1" s="1" t="s">
        <v>45</v>
      </c>
      <c r="AW1" s="1" t="s">
        <v>46</v>
      </c>
      <c r="AX1" s="1" t="s">
        <v>47</v>
      </c>
      <c r="AY1" s="1" t="s">
        <v>48</v>
      </c>
      <c r="AZ1" s="1" t="s">
        <v>49</v>
      </c>
      <c r="BA1" s="1" t="s">
        <v>50</v>
      </c>
      <c r="BB1" s="1" t="s">
        <v>51</v>
      </c>
      <c r="BC1" s="1" t="s">
        <v>52</v>
      </c>
      <c r="BD1" s="1" t="s">
        <v>53</v>
      </c>
      <c r="BE1" s="1" t="s">
        <v>54</v>
      </c>
      <c r="BF1" s="1" t="s">
        <v>55</v>
      </c>
      <c r="BG1" s="1" t="s">
        <v>56</v>
      </c>
      <c r="BH1" s="1" t="s">
        <v>57</v>
      </c>
      <c r="BI1" s="1" t="s">
        <v>58</v>
      </c>
      <c r="BJ1" s="1" t="s">
        <v>59</v>
      </c>
      <c r="BK1" s="1" t="s">
        <v>60</v>
      </c>
      <c r="BL1" s="1" t="s">
        <v>61</v>
      </c>
      <c r="BM1" s="1" t="s">
        <v>62</v>
      </c>
      <c r="BN1" s="1" t="s">
        <v>63</v>
      </c>
      <c r="BO1" s="1" t="s">
        <v>60</v>
      </c>
      <c r="BP1" s="1" t="s">
        <v>64</v>
      </c>
      <c r="BQ1" s="1" t="s">
        <v>65</v>
      </c>
      <c r="BR1" s="1" t="s">
        <v>66</v>
      </c>
      <c r="BS1" s="1" t="s">
        <v>67</v>
      </c>
      <c r="BT1" s="1" t="s">
        <v>68</v>
      </c>
      <c r="BU1" s="1" t="s">
        <v>69</v>
      </c>
      <c r="BV1" s="1" t="s">
        <v>70</v>
      </c>
      <c r="BW1" s="1" t="s">
        <v>71</v>
      </c>
      <c r="BX1" s="1" t="s">
        <v>72</v>
      </c>
      <c r="BY1" s="1" t="s">
        <v>73</v>
      </c>
      <c r="BZ1" s="1" t="s">
        <v>74</v>
      </c>
      <c r="CA1" s="1" t="s">
        <v>75</v>
      </c>
      <c r="CB1" s="1" t="s">
        <v>76</v>
      </c>
      <c r="CC1" s="1" t="s">
        <v>77</v>
      </c>
      <c r="CD1" s="1" t="s">
        <v>78</v>
      </c>
      <c r="CE1" s="1" t="s">
        <v>79</v>
      </c>
      <c r="CF1" s="1" t="s">
        <v>80</v>
      </c>
      <c r="CG1" s="1" t="s">
        <v>81</v>
      </c>
      <c r="CH1" s="1" t="s">
        <v>82</v>
      </c>
      <c r="CI1" s="1" t="s">
        <v>83</v>
      </c>
      <c r="CJ1" s="1" t="s">
        <v>84</v>
      </c>
      <c r="CK1" s="1" t="s">
        <v>85</v>
      </c>
      <c r="CL1" s="1" t="s">
        <v>86</v>
      </c>
      <c r="CM1" s="1" t="s">
        <v>87</v>
      </c>
      <c r="CN1" s="1" t="s">
        <v>88</v>
      </c>
      <c r="CO1" s="1" t="s">
        <v>89</v>
      </c>
      <c r="CP1" s="1" t="s">
        <v>90</v>
      </c>
      <c r="CQ1" s="1" t="s">
        <v>91</v>
      </c>
      <c r="CR1" s="1" t="s">
        <v>92</v>
      </c>
      <c r="CS1" s="1" t="s">
        <v>93</v>
      </c>
      <c r="CT1" s="1" t="s">
        <v>94</v>
      </c>
      <c r="CU1" s="1" t="s">
        <v>95</v>
      </c>
      <c r="CV1" s="1" t="s">
        <v>96</v>
      </c>
      <c r="CW1" s="1" t="s">
        <v>97</v>
      </c>
      <c r="CX1" s="1" t="s">
        <v>98</v>
      </c>
      <c r="CY1" s="1" t="s">
        <v>99</v>
      </c>
      <c r="CZ1" s="1" t="s">
        <v>100</v>
      </c>
      <c r="DA1" s="1" t="s">
        <v>101</v>
      </c>
      <c r="DB1" s="1" t="s">
        <v>102</v>
      </c>
      <c r="DC1" s="1" t="s">
        <v>103</v>
      </c>
    </row>
    <row r="2" spans="1:107" x14ac:dyDescent="0.25">
      <c r="A2" t="s">
        <v>104</v>
      </c>
      <c r="B2" t="s">
        <v>105</v>
      </c>
      <c r="C2" t="s">
        <v>106</v>
      </c>
      <c r="E2" t="s">
        <v>107</v>
      </c>
      <c r="G2" t="s">
        <v>106</v>
      </c>
      <c r="I2" t="s">
        <v>108</v>
      </c>
      <c r="P2" t="s">
        <v>109</v>
      </c>
      <c r="Q2" t="s">
        <v>110</v>
      </c>
      <c r="W2" t="s">
        <v>111</v>
      </c>
      <c r="AA2" t="s">
        <v>112</v>
      </c>
      <c r="AH2" t="s">
        <v>113</v>
      </c>
      <c r="AJ2" t="s">
        <v>114</v>
      </c>
      <c r="AK2" t="s">
        <v>115</v>
      </c>
      <c r="AL2" t="s">
        <v>116</v>
      </c>
      <c r="AM2" t="s">
        <v>117</v>
      </c>
      <c r="AO2" t="s">
        <v>118</v>
      </c>
      <c r="AR2" t="s">
        <v>119</v>
      </c>
      <c r="AS2" t="s">
        <v>118</v>
      </c>
      <c r="AV2" t="s">
        <v>120</v>
      </c>
      <c r="AZ2" t="s">
        <v>121</v>
      </c>
      <c r="BE2" t="s">
        <v>122</v>
      </c>
      <c r="BF2" t="s">
        <v>122</v>
      </c>
      <c r="BI2" t="s">
        <v>122</v>
      </c>
      <c r="BJ2" t="s">
        <v>123</v>
      </c>
      <c r="BK2">
        <v>0</v>
      </c>
      <c r="BL2">
        <v>0</v>
      </c>
      <c r="BN2">
        <v>0</v>
      </c>
      <c r="BO2">
        <v>0</v>
      </c>
      <c r="BP2">
        <v>0.17</v>
      </c>
      <c r="BQ2">
        <v>2</v>
      </c>
      <c r="BR2">
        <v>0</v>
      </c>
      <c r="BS2">
        <v>0</v>
      </c>
      <c r="BT2">
        <v>0</v>
      </c>
      <c r="BU2">
        <v>0</v>
      </c>
      <c r="BV2">
        <v>0</v>
      </c>
      <c r="BW2">
        <v>16671</v>
      </c>
      <c r="BY2">
        <v>0</v>
      </c>
      <c r="CA2">
        <v>0</v>
      </c>
      <c r="CB2">
        <v>1</v>
      </c>
      <c r="CC2">
        <v>0.85</v>
      </c>
      <c r="CD2">
        <v>0</v>
      </c>
      <c r="CE2" t="s">
        <v>124</v>
      </c>
      <c r="CF2" t="s">
        <v>121</v>
      </c>
      <c r="CG2" t="s">
        <v>125</v>
      </c>
      <c r="CH2" t="s">
        <v>126</v>
      </c>
      <c r="CI2" t="s">
        <v>127</v>
      </c>
      <c r="CJ2" t="s">
        <v>65</v>
      </c>
      <c r="CO2" t="s">
        <v>106</v>
      </c>
      <c r="CP2" t="s">
        <v>128</v>
      </c>
      <c r="CQ2" t="s">
        <v>121</v>
      </c>
      <c r="CT2">
        <v>0</v>
      </c>
      <c r="CZ2" t="s">
        <v>129</v>
      </c>
      <c r="DB2" t="s">
        <v>108</v>
      </c>
    </row>
    <row r="3" spans="1:107" x14ac:dyDescent="0.25">
      <c r="A3" t="s">
        <v>130</v>
      </c>
      <c r="B3" t="s">
        <v>105</v>
      </c>
      <c r="C3" t="s">
        <v>131</v>
      </c>
      <c r="E3" t="s">
        <v>107</v>
      </c>
      <c r="G3" t="s">
        <v>131</v>
      </c>
      <c r="I3" t="s">
        <v>108</v>
      </c>
      <c r="P3" t="s">
        <v>109</v>
      </c>
      <c r="Q3" t="s">
        <v>132</v>
      </c>
      <c r="W3" t="s">
        <v>111</v>
      </c>
      <c r="AA3" t="s">
        <v>112</v>
      </c>
      <c r="AH3" t="s">
        <v>133</v>
      </c>
      <c r="AO3" t="s">
        <v>134</v>
      </c>
      <c r="AR3" t="s">
        <v>135</v>
      </c>
      <c r="AS3" t="s">
        <v>134</v>
      </c>
      <c r="AV3" t="s">
        <v>120</v>
      </c>
      <c r="AZ3" t="s">
        <v>121</v>
      </c>
      <c r="BE3" t="s">
        <v>122</v>
      </c>
      <c r="BF3" t="s">
        <v>122</v>
      </c>
      <c r="BI3" t="s">
        <v>122</v>
      </c>
      <c r="BJ3" t="s">
        <v>136</v>
      </c>
      <c r="BK3">
        <v>0</v>
      </c>
      <c r="BL3">
        <v>0</v>
      </c>
      <c r="BN3">
        <v>9504</v>
      </c>
      <c r="BO3">
        <v>0</v>
      </c>
      <c r="BP3">
        <v>0</v>
      </c>
      <c r="BQ3">
        <v>25934.7</v>
      </c>
      <c r="BR3">
        <v>0</v>
      </c>
      <c r="BS3">
        <v>0</v>
      </c>
      <c r="BT3">
        <v>0</v>
      </c>
      <c r="BU3">
        <v>0</v>
      </c>
      <c r="BV3">
        <v>0</v>
      </c>
      <c r="BW3">
        <v>16671</v>
      </c>
      <c r="BY3">
        <v>0</v>
      </c>
      <c r="CA3">
        <v>0</v>
      </c>
      <c r="CB3">
        <v>1088.23</v>
      </c>
      <c r="CC3">
        <v>1009.23</v>
      </c>
      <c r="CD3">
        <v>0</v>
      </c>
      <c r="CE3" t="s">
        <v>124</v>
      </c>
      <c r="CF3" t="s">
        <v>121</v>
      </c>
      <c r="CG3" t="s">
        <v>125</v>
      </c>
      <c r="CH3" t="s">
        <v>126</v>
      </c>
      <c r="CI3" t="s">
        <v>127</v>
      </c>
      <c r="CJ3" t="s">
        <v>137</v>
      </c>
      <c r="CO3" t="s">
        <v>131</v>
      </c>
      <c r="CP3" t="s">
        <v>138</v>
      </c>
      <c r="CQ3" t="s">
        <v>121</v>
      </c>
      <c r="CT3">
        <v>0</v>
      </c>
      <c r="CZ3" t="s">
        <v>129</v>
      </c>
      <c r="DB3" t="s">
        <v>108</v>
      </c>
    </row>
    <row r="4" spans="1:107" x14ac:dyDescent="0.25">
      <c r="A4" t="s">
        <v>139</v>
      </c>
      <c r="B4" t="s">
        <v>105</v>
      </c>
      <c r="C4" t="s">
        <v>131</v>
      </c>
      <c r="E4" t="s">
        <v>107</v>
      </c>
      <c r="G4" t="s">
        <v>131</v>
      </c>
      <c r="I4" t="s">
        <v>108</v>
      </c>
      <c r="P4" t="s">
        <v>109</v>
      </c>
      <c r="Q4" t="s">
        <v>132</v>
      </c>
      <c r="W4" t="s">
        <v>111</v>
      </c>
      <c r="AA4" t="s">
        <v>112</v>
      </c>
      <c r="AH4" t="s">
        <v>133</v>
      </c>
      <c r="AO4" t="s">
        <v>134</v>
      </c>
      <c r="AR4" t="s">
        <v>140</v>
      </c>
      <c r="AS4" t="s">
        <v>134</v>
      </c>
      <c r="AV4" t="s">
        <v>120</v>
      </c>
      <c r="AZ4" t="s">
        <v>121</v>
      </c>
      <c r="BE4" t="s">
        <v>122</v>
      </c>
      <c r="BF4" t="s">
        <v>122</v>
      </c>
      <c r="BI4" t="s">
        <v>122</v>
      </c>
      <c r="BJ4" t="s">
        <v>136</v>
      </c>
      <c r="BK4">
        <v>0</v>
      </c>
      <c r="BL4">
        <v>0</v>
      </c>
      <c r="BN4">
        <v>3572.22</v>
      </c>
      <c r="BO4">
        <v>0</v>
      </c>
      <c r="BP4">
        <v>0</v>
      </c>
      <c r="BQ4">
        <v>9320.6200000000008</v>
      </c>
      <c r="BR4">
        <v>0</v>
      </c>
      <c r="BS4">
        <v>0</v>
      </c>
      <c r="BT4">
        <v>0</v>
      </c>
      <c r="BU4">
        <v>0</v>
      </c>
      <c r="BV4">
        <v>0</v>
      </c>
      <c r="BW4">
        <v>16671</v>
      </c>
      <c r="BY4">
        <v>0</v>
      </c>
      <c r="CA4">
        <v>0</v>
      </c>
      <c r="CB4">
        <v>487.61599999999999</v>
      </c>
      <c r="CC4">
        <v>446.71600000000001</v>
      </c>
      <c r="CD4">
        <v>0</v>
      </c>
      <c r="CE4" t="s">
        <v>124</v>
      </c>
      <c r="CF4" t="s">
        <v>121</v>
      </c>
      <c r="CG4" t="s">
        <v>125</v>
      </c>
      <c r="CH4" t="s">
        <v>126</v>
      </c>
      <c r="CI4" t="s">
        <v>127</v>
      </c>
      <c r="CJ4" t="s">
        <v>137</v>
      </c>
      <c r="CO4" t="s">
        <v>131</v>
      </c>
      <c r="CP4" t="s">
        <v>141</v>
      </c>
      <c r="CQ4" t="s">
        <v>121</v>
      </c>
      <c r="CT4">
        <v>0</v>
      </c>
      <c r="CZ4" t="s">
        <v>129</v>
      </c>
      <c r="DB4" t="s">
        <v>108</v>
      </c>
    </row>
    <row r="5" spans="1:107" x14ac:dyDescent="0.25">
      <c r="A5" t="s">
        <v>142</v>
      </c>
      <c r="B5" t="s">
        <v>105</v>
      </c>
      <c r="C5" t="s">
        <v>131</v>
      </c>
      <c r="E5" t="s">
        <v>107</v>
      </c>
      <c r="G5" t="s">
        <v>131</v>
      </c>
      <c r="I5" t="s">
        <v>108</v>
      </c>
      <c r="P5" t="s">
        <v>109</v>
      </c>
      <c r="Q5" t="s">
        <v>132</v>
      </c>
      <c r="W5" t="s">
        <v>111</v>
      </c>
      <c r="AA5" t="s">
        <v>112</v>
      </c>
      <c r="AH5" t="s">
        <v>133</v>
      </c>
      <c r="AO5" t="s">
        <v>134</v>
      </c>
      <c r="AR5" t="s">
        <v>140</v>
      </c>
      <c r="AS5" t="s">
        <v>134</v>
      </c>
      <c r="AV5" t="s">
        <v>120</v>
      </c>
      <c r="AZ5" t="s">
        <v>121</v>
      </c>
      <c r="BE5" t="s">
        <v>122</v>
      </c>
      <c r="BF5" t="s">
        <v>122</v>
      </c>
      <c r="BI5" t="s">
        <v>122</v>
      </c>
      <c r="BJ5" t="s">
        <v>136</v>
      </c>
      <c r="BK5">
        <v>0</v>
      </c>
      <c r="BL5">
        <v>0</v>
      </c>
      <c r="BN5">
        <v>1222.26</v>
      </c>
      <c r="BO5">
        <v>0</v>
      </c>
      <c r="BP5">
        <v>0</v>
      </c>
      <c r="BQ5">
        <v>3997.24</v>
      </c>
      <c r="BR5">
        <v>0</v>
      </c>
      <c r="BS5">
        <v>0</v>
      </c>
      <c r="BT5">
        <v>0</v>
      </c>
      <c r="BU5">
        <v>0</v>
      </c>
      <c r="BV5">
        <v>0</v>
      </c>
      <c r="BW5">
        <v>16671</v>
      </c>
      <c r="BY5">
        <v>0</v>
      </c>
      <c r="CA5">
        <v>0</v>
      </c>
      <c r="CB5">
        <v>148.36000000000001</v>
      </c>
      <c r="CC5">
        <v>130.36000000000001</v>
      </c>
      <c r="CD5">
        <v>0</v>
      </c>
      <c r="CE5" t="s">
        <v>124</v>
      </c>
      <c r="CF5" t="s">
        <v>121</v>
      </c>
      <c r="CG5" t="s">
        <v>125</v>
      </c>
      <c r="CH5" t="s">
        <v>126</v>
      </c>
      <c r="CI5" t="s">
        <v>127</v>
      </c>
      <c r="CJ5" t="s">
        <v>137</v>
      </c>
      <c r="CO5" t="s">
        <v>131</v>
      </c>
      <c r="CP5" t="s">
        <v>143</v>
      </c>
      <c r="CQ5" t="s">
        <v>121</v>
      </c>
      <c r="CT5">
        <v>0</v>
      </c>
      <c r="CZ5" t="s">
        <v>129</v>
      </c>
      <c r="DB5" t="s">
        <v>108</v>
      </c>
    </row>
    <row r="6" spans="1:107" x14ac:dyDescent="0.25">
      <c r="A6" t="s">
        <v>144</v>
      </c>
      <c r="B6" t="s">
        <v>105</v>
      </c>
      <c r="C6" t="s">
        <v>131</v>
      </c>
      <c r="E6" t="s">
        <v>107</v>
      </c>
      <c r="G6" t="s">
        <v>131</v>
      </c>
      <c r="I6" t="s">
        <v>108</v>
      </c>
      <c r="P6" t="s">
        <v>109</v>
      </c>
      <c r="Q6" t="s">
        <v>132</v>
      </c>
      <c r="W6" t="s">
        <v>111</v>
      </c>
      <c r="AA6" t="s">
        <v>112</v>
      </c>
      <c r="AH6" t="s">
        <v>133</v>
      </c>
      <c r="AO6" t="s">
        <v>134</v>
      </c>
      <c r="AR6" t="s">
        <v>140</v>
      </c>
      <c r="AS6" t="s">
        <v>134</v>
      </c>
      <c r="AV6" t="s">
        <v>120</v>
      </c>
      <c r="AZ6" t="s">
        <v>121</v>
      </c>
      <c r="BE6" t="s">
        <v>122</v>
      </c>
      <c r="BF6" t="s">
        <v>122</v>
      </c>
      <c r="BI6" t="s">
        <v>122</v>
      </c>
      <c r="BJ6" t="s">
        <v>136</v>
      </c>
      <c r="BK6">
        <v>0</v>
      </c>
      <c r="BL6">
        <v>0</v>
      </c>
      <c r="BN6">
        <v>11692.8</v>
      </c>
      <c r="BO6">
        <v>0</v>
      </c>
      <c r="BP6">
        <v>0</v>
      </c>
      <c r="BQ6">
        <v>31710</v>
      </c>
      <c r="BR6">
        <v>0</v>
      </c>
      <c r="BS6">
        <v>0</v>
      </c>
      <c r="BT6">
        <v>0</v>
      </c>
      <c r="BU6">
        <v>0</v>
      </c>
      <c r="BV6">
        <v>0</v>
      </c>
      <c r="BW6">
        <v>16671</v>
      </c>
      <c r="BY6">
        <v>0</v>
      </c>
      <c r="CA6">
        <v>0</v>
      </c>
      <c r="CB6">
        <v>1334.81</v>
      </c>
      <c r="CC6">
        <v>1237.81</v>
      </c>
      <c r="CD6">
        <v>0</v>
      </c>
      <c r="CE6" t="s">
        <v>124</v>
      </c>
      <c r="CF6" t="s">
        <v>121</v>
      </c>
      <c r="CG6" t="s">
        <v>125</v>
      </c>
      <c r="CH6" t="s">
        <v>126</v>
      </c>
      <c r="CI6" t="s">
        <v>127</v>
      </c>
      <c r="CJ6" t="s">
        <v>137</v>
      </c>
      <c r="CO6" t="s">
        <v>131</v>
      </c>
      <c r="CP6" t="s">
        <v>145</v>
      </c>
      <c r="CQ6" t="s">
        <v>121</v>
      </c>
      <c r="CT6">
        <v>0</v>
      </c>
      <c r="CZ6" t="s">
        <v>129</v>
      </c>
      <c r="DB6" t="s">
        <v>108</v>
      </c>
    </row>
    <row r="7" spans="1:107" x14ac:dyDescent="0.25">
      <c r="A7" t="s">
        <v>146</v>
      </c>
      <c r="B7" t="s">
        <v>105</v>
      </c>
      <c r="C7" t="s">
        <v>131</v>
      </c>
      <c r="E7" t="s">
        <v>107</v>
      </c>
      <c r="G7" t="s">
        <v>131</v>
      </c>
      <c r="I7" t="s">
        <v>108</v>
      </c>
      <c r="P7" t="s">
        <v>109</v>
      </c>
      <c r="Q7" t="s">
        <v>132</v>
      </c>
      <c r="W7" t="s">
        <v>111</v>
      </c>
      <c r="AA7" t="s">
        <v>112</v>
      </c>
      <c r="AH7" t="s">
        <v>133</v>
      </c>
      <c r="AO7" t="s">
        <v>134</v>
      </c>
      <c r="AR7" t="s">
        <v>140</v>
      </c>
      <c r="AS7" t="s">
        <v>134</v>
      </c>
      <c r="AV7" t="s">
        <v>120</v>
      </c>
      <c r="AZ7" t="s">
        <v>121</v>
      </c>
      <c r="BE7" t="s">
        <v>122</v>
      </c>
      <c r="BF7" t="s">
        <v>122</v>
      </c>
      <c r="BI7" t="s">
        <v>122</v>
      </c>
      <c r="BJ7" t="s">
        <v>136</v>
      </c>
      <c r="BK7">
        <v>0</v>
      </c>
      <c r="BL7">
        <v>0</v>
      </c>
      <c r="BN7">
        <v>223.2</v>
      </c>
      <c r="BO7">
        <v>0</v>
      </c>
      <c r="BP7">
        <v>0</v>
      </c>
      <c r="BQ7">
        <v>578.26</v>
      </c>
      <c r="BR7">
        <v>0</v>
      </c>
      <c r="BS7">
        <v>0</v>
      </c>
      <c r="BT7">
        <v>0</v>
      </c>
      <c r="BU7">
        <v>0</v>
      </c>
      <c r="BV7">
        <v>0</v>
      </c>
      <c r="BW7">
        <v>16671</v>
      </c>
      <c r="BY7">
        <v>0</v>
      </c>
      <c r="CA7">
        <v>0</v>
      </c>
      <c r="CB7">
        <v>29.085999999999999</v>
      </c>
      <c r="CC7">
        <v>25.885999999999999</v>
      </c>
      <c r="CD7">
        <v>0</v>
      </c>
      <c r="CE7" t="s">
        <v>124</v>
      </c>
      <c r="CF7" t="s">
        <v>121</v>
      </c>
      <c r="CG7" t="s">
        <v>125</v>
      </c>
      <c r="CH7" t="s">
        <v>126</v>
      </c>
      <c r="CI7" t="s">
        <v>127</v>
      </c>
      <c r="CJ7" t="s">
        <v>137</v>
      </c>
      <c r="CO7" t="s">
        <v>131</v>
      </c>
      <c r="CP7" t="s">
        <v>147</v>
      </c>
      <c r="CQ7" t="s">
        <v>121</v>
      </c>
      <c r="CT7">
        <v>0</v>
      </c>
      <c r="CZ7" t="s">
        <v>129</v>
      </c>
      <c r="DB7" t="s">
        <v>108</v>
      </c>
    </row>
    <row r="8" spans="1:107" x14ac:dyDescent="0.25">
      <c r="A8" t="s">
        <v>148</v>
      </c>
      <c r="B8" t="s">
        <v>105</v>
      </c>
      <c r="C8" t="s">
        <v>106</v>
      </c>
      <c r="E8" t="s">
        <v>107</v>
      </c>
      <c r="G8" t="s">
        <v>106</v>
      </c>
      <c r="I8" t="s">
        <v>108</v>
      </c>
      <c r="P8" t="s">
        <v>109</v>
      </c>
      <c r="Q8" t="s">
        <v>110</v>
      </c>
      <c r="W8" t="s">
        <v>111</v>
      </c>
      <c r="AA8" t="s">
        <v>112</v>
      </c>
      <c r="AH8" t="s">
        <v>149</v>
      </c>
      <c r="AO8" t="s">
        <v>118</v>
      </c>
      <c r="AR8" t="s">
        <v>150</v>
      </c>
      <c r="AS8" t="s">
        <v>118</v>
      </c>
      <c r="AV8" t="s">
        <v>120</v>
      </c>
      <c r="AZ8" t="s">
        <v>121</v>
      </c>
      <c r="BE8" t="s">
        <v>122</v>
      </c>
      <c r="BF8" t="s">
        <v>122</v>
      </c>
      <c r="BI8" t="s">
        <v>122</v>
      </c>
      <c r="BJ8" t="s">
        <v>123</v>
      </c>
      <c r="BK8">
        <v>0</v>
      </c>
      <c r="BL8">
        <v>0</v>
      </c>
      <c r="BN8">
        <v>0</v>
      </c>
      <c r="BO8">
        <v>0</v>
      </c>
      <c r="BP8">
        <v>0.17</v>
      </c>
      <c r="BQ8">
        <v>2</v>
      </c>
      <c r="BR8">
        <v>0</v>
      </c>
      <c r="BS8">
        <v>0</v>
      </c>
      <c r="BT8">
        <v>0</v>
      </c>
      <c r="BU8">
        <v>0</v>
      </c>
      <c r="BV8">
        <v>0</v>
      </c>
      <c r="BW8">
        <v>16671</v>
      </c>
      <c r="BY8">
        <v>0</v>
      </c>
      <c r="CA8">
        <v>0</v>
      </c>
      <c r="CB8">
        <v>0.74</v>
      </c>
      <c r="CC8">
        <v>0.65</v>
      </c>
      <c r="CD8">
        <v>0</v>
      </c>
      <c r="CE8" t="s">
        <v>124</v>
      </c>
      <c r="CF8" t="s">
        <v>121</v>
      </c>
      <c r="CG8" t="s">
        <v>125</v>
      </c>
      <c r="CH8" t="s">
        <v>126</v>
      </c>
      <c r="CI8" t="s">
        <v>127</v>
      </c>
      <c r="CJ8" t="s">
        <v>65</v>
      </c>
      <c r="CO8" t="s">
        <v>106</v>
      </c>
      <c r="CP8" t="s">
        <v>151</v>
      </c>
      <c r="CQ8" t="s">
        <v>121</v>
      </c>
      <c r="CT8">
        <v>0</v>
      </c>
      <c r="CZ8" t="s">
        <v>129</v>
      </c>
      <c r="DB8" t="s">
        <v>108</v>
      </c>
    </row>
    <row r="9" spans="1:107" x14ac:dyDescent="0.25">
      <c r="A9" t="s">
        <v>152</v>
      </c>
      <c r="B9" t="s">
        <v>105</v>
      </c>
      <c r="C9" t="s">
        <v>131</v>
      </c>
      <c r="E9" t="s">
        <v>107</v>
      </c>
      <c r="G9" t="s">
        <v>131</v>
      </c>
      <c r="I9" t="s">
        <v>108</v>
      </c>
      <c r="P9" t="s">
        <v>109</v>
      </c>
      <c r="Q9" t="s">
        <v>132</v>
      </c>
      <c r="W9" t="s">
        <v>111</v>
      </c>
      <c r="AA9" t="s">
        <v>112</v>
      </c>
      <c r="AH9" t="s">
        <v>133</v>
      </c>
      <c r="AO9" t="s">
        <v>134</v>
      </c>
      <c r="AR9" t="s">
        <v>140</v>
      </c>
      <c r="AS9" t="s">
        <v>134</v>
      </c>
      <c r="AV9" t="s">
        <v>120</v>
      </c>
      <c r="AZ9" t="s">
        <v>121</v>
      </c>
      <c r="BE9" t="s">
        <v>122</v>
      </c>
      <c r="BF9" t="s">
        <v>122</v>
      </c>
      <c r="BI9" t="s">
        <v>122</v>
      </c>
      <c r="BJ9" t="s">
        <v>136</v>
      </c>
      <c r="BK9">
        <v>0</v>
      </c>
      <c r="BL9">
        <v>0</v>
      </c>
      <c r="BN9">
        <v>1097.55</v>
      </c>
      <c r="BO9">
        <v>0</v>
      </c>
      <c r="BP9">
        <v>0</v>
      </c>
      <c r="BQ9">
        <v>2728.21</v>
      </c>
      <c r="BR9">
        <v>0</v>
      </c>
      <c r="BS9">
        <v>0</v>
      </c>
      <c r="BT9">
        <v>0</v>
      </c>
      <c r="BU9">
        <v>0</v>
      </c>
      <c r="BV9">
        <v>0</v>
      </c>
      <c r="BW9">
        <v>16671</v>
      </c>
      <c r="BY9">
        <v>0</v>
      </c>
      <c r="CA9">
        <v>0</v>
      </c>
      <c r="CB9">
        <v>113.23</v>
      </c>
      <c r="CC9">
        <v>101.03</v>
      </c>
      <c r="CD9">
        <v>0</v>
      </c>
      <c r="CE9" t="s">
        <v>124</v>
      </c>
      <c r="CF9" t="s">
        <v>121</v>
      </c>
      <c r="CG9" t="s">
        <v>125</v>
      </c>
      <c r="CH9" t="s">
        <v>126</v>
      </c>
      <c r="CI9" t="s">
        <v>127</v>
      </c>
      <c r="CJ9" t="s">
        <v>137</v>
      </c>
      <c r="CO9" t="s">
        <v>131</v>
      </c>
      <c r="CP9" t="s">
        <v>153</v>
      </c>
      <c r="CQ9" t="s">
        <v>121</v>
      </c>
      <c r="CT9">
        <v>0</v>
      </c>
      <c r="CZ9" t="s">
        <v>129</v>
      </c>
      <c r="DB9" t="s">
        <v>108</v>
      </c>
    </row>
    <row r="10" spans="1:107" x14ac:dyDescent="0.25">
      <c r="A10" t="s">
        <v>154</v>
      </c>
      <c r="B10" t="s">
        <v>105</v>
      </c>
      <c r="C10" t="s">
        <v>131</v>
      </c>
      <c r="E10" t="s">
        <v>107</v>
      </c>
      <c r="G10" t="s">
        <v>131</v>
      </c>
      <c r="I10" t="s">
        <v>108</v>
      </c>
      <c r="P10" t="s">
        <v>109</v>
      </c>
      <c r="Q10" t="s">
        <v>132</v>
      </c>
      <c r="W10" t="s">
        <v>111</v>
      </c>
      <c r="AA10" t="s">
        <v>112</v>
      </c>
      <c r="AH10" t="s">
        <v>133</v>
      </c>
      <c r="AO10" t="s">
        <v>134</v>
      </c>
      <c r="AR10" t="s">
        <v>135</v>
      </c>
      <c r="AS10" t="s">
        <v>134</v>
      </c>
      <c r="AV10" t="s">
        <v>120</v>
      </c>
      <c r="AZ10" t="s">
        <v>121</v>
      </c>
      <c r="BE10" t="s">
        <v>122</v>
      </c>
      <c r="BF10" t="s">
        <v>122</v>
      </c>
      <c r="BI10" t="s">
        <v>122</v>
      </c>
      <c r="BJ10" t="s">
        <v>136</v>
      </c>
      <c r="BK10">
        <v>0</v>
      </c>
      <c r="BL10">
        <v>0</v>
      </c>
      <c r="BN10">
        <v>1069.2</v>
      </c>
      <c r="BO10">
        <v>0</v>
      </c>
      <c r="BP10">
        <v>0</v>
      </c>
      <c r="BQ10">
        <v>2728.08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16671</v>
      </c>
      <c r="BY10">
        <v>0</v>
      </c>
      <c r="CA10">
        <v>0</v>
      </c>
      <c r="CB10">
        <v>112.18</v>
      </c>
      <c r="CC10">
        <v>99.08</v>
      </c>
      <c r="CD10">
        <v>0</v>
      </c>
      <c r="CE10" t="s">
        <v>124</v>
      </c>
      <c r="CF10" t="s">
        <v>121</v>
      </c>
      <c r="CG10" t="s">
        <v>125</v>
      </c>
      <c r="CH10" t="s">
        <v>126</v>
      </c>
      <c r="CI10" t="s">
        <v>127</v>
      </c>
      <c r="CJ10" t="s">
        <v>137</v>
      </c>
      <c r="CO10" t="s">
        <v>131</v>
      </c>
      <c r="CP10" t="s">
        <v>155</v>
      </c>
      <c r="CQ10" t="s">
        <v>121</v>
      </c>
      <c r="CT10">
        <v>0</v>
      </c>
      <c r="CZ10" t="s">
        <v>129</v>
      </c>
      <c r="DB10" t="s">
        <v>108</v>
      </c>
    </row>
    <row r="11" spans="1:107" x14ac:dyDescent="0.25">
      <c r="A11" t="s">
        <v>156</v>
      </c>
      <c r="B11" t="s">
        <v>105</v>
      </c>
      <c r="C11" t="s">
        <v>106</v>
      </c>
      <c r="E11" t="s">
        <v>107</v>
      </c>
      <c r="G11" t="s">
        <v>106</v>
      </c>
      <c r="I11" t="s">
        <v>108</v>
      </c>
      <c r="P11" t="s">
        <v>109</v>
      </c>
      <c r="Q11" t="s">
        <v>110</v>
      </c>
      <c r="W11" t="s">
        <v>111</v>
      </c>
      <c r="AA11" t="s">
        <v>112</v>
      </c>
      <c r="AH11" t="s">
        <v>157</v>
      </c>
      <c r="AJ11" t="s">
        <v>114</v>
      </c>
      <c r="AK11" t="s">
        <v>115</v>
      </c>
      <c r="AL11" t="s">
        <v>116</v>
      </c>
      <c r="AM11" t="s">
        <v>158</v>
      </c>
      <c r="AO11" t="s">
        <v>118</v>
      </c>
      <c r="AR11" t="s">
        <v>159</v>
      </c>
      <c r="AS11" t="s">
        <v>118</v>
      </c>
      <c r="AV11" t="s">
        <v>120</v>
      </c>
      <c r="AZ11" t="s">
        <v>121</v>
      </c>
      <c r="BE11" t="s">
        <v>122</v>
      </c>
      <c r="BF11" t="s">
        <v>122</v>
      </c>
      <c r="BI11" t="s">
        <v>122</v>
      </c>
      <c r="BJ11" t="s">
        <v>123</v>
      </c>
      <c r="BK11">
        <v>0.01</v>
      </c>
      <c r="BL11">
        <v>0</v>
      </c>
      <c r="BN11">
        <v>0</v>
      </c>
      <c r="BO11">
        <v>0.01</v>
      </c>
      <c r="BP11">
        <v>0.34</v>
      </c>
      <c r="BQ11">
        <v>4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16671</v>
      </c>
      <c r="BY11">
        <v>0</v>
      </c>
      <c r="CA11">
        <v>0</v>
      </c>
      <c r="CB11">
        <v>3</v>
      </c>
      <c r="CC11">
        <v>2.5</v>
      </c>
      <c r="CD11">
        <v>0</v>
      </c>
      <c r="CE11" t="s">
        <v>124</v>
      </c>
      <c r="CF11" t="s">
        <v>121</v>
      </c>
      <c r="CG11" t="s">
        <v>125</v>
      </c>
      <c r="CH11" t="s">
        <v>126</v>
      </c>
      <c r="CI11" t="s">
        <v>127</v>
      </c>
      <c r="CJ11" t="s">
        <v>65</v>
      </c>
      <c r="CO11" t="s">
        <v>106</v>
      </c>
      <c r="CP11" t="s">
        <v>160</v>
      </c>
      <c r="CQ11" t="s">
        <v>121</v>
      </c>
      <c r="CT11">
        <v>0</v>
      </c>
      <c r="CZ11" t="s">
        <v>129</v>
      </c>
      <c r="DB11" t="s">
        <v>108</v>
      </c>
    </row>
  </sheetData>
  <pageMargins left="0.7" right="0.7" top="0.75" bottom="0.75" header="0.3" footer="0.3"/>
  <pageSetup firstPageNumber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P51"/>
  <sheetViews>
    <sheetView workbookViewId="0"/>
  </sheetViews>
  <sheetFormatPr defaultRowHeight="15" x14ac:dyDescent="0.25"/>
  <cols>
    <col min="1" max="1" width="27.42578125" bestFit="1" customWidth="1"/>
    <col min="3" max="3" width="13.42578125" bestFit="1" customWidth="1"/>
    <col min="4" max="4" width="21.42578125" bestFit="1" customWidth="1"/>
    <col min="5" max="5" width="23.42578125" bestFit="1" customWidth="1"/>
    <col min="6" max="6" width="27.42578125" bestFit="1" customWidth="1"/>
    <col min="7" max="7" width="157.42578125" bestFit="1" customWidth="1"/>
    <col min="8" max="8" width="14.42578125" bestFit="1" customWidth="1"/>
    <col min="9" max="9" width="15.42578125" bestFit="1" customWidth="1"/>
    <col min="10" max="10" width="12.42578125" bestFit="1" customWidth="1"/>
    <col min="11" max="11" width="19.42578125" bestFit="1" customWidth="1"/>
    <col min="12" max="12" width="21.42578125" bestFit="1" customWidth="1"/>
    <col min="13" max="13" width="12.42578125" bestFit="1" customWidth="1"/>
    <col min="14" max="14" width="14.42578125" bestFit="1" customWidth="1"/>
    <col min="15" max="15" width="27.42578125" bestFit="1" customWidth="1"/>
    <col min="16" max="16" width="14.42578125" bestFit="1" customWidth="1"/>
  </cols>
  <sheetData>
    <row r="1" spans="1:16" ht="15.75" x14ac:dyDescent="0.25">
      <c r="A1" s="1" t="s">
        <v>0</v>
      </c>
      <c r="B1" s="1" t="s">
        <v>165</v>
      </c>
      <c r="C1" s="1" t="s">
        <v>166</v>
      </c>
      <c r="D1" s="1" t="s">
        <v>167</v>
      </c>
      <c r="E1" s="1" t="s">
        <v>168</v>
      </c>
      <c r="F1" s="1" t="s">
        <v>169</v>
      </c>
      <c r="G1" s="1" t="s">
        <v>170</v>
      </c>
      <c r="H1" s="1" t="s">
        <v>171</v>
      </c>
      <c r="I1" s="1" t="s">
        <v>172</v>
      </c>
      <c r="J1" s="1" t="s">
        <v>173</v>
      </c>
      <c r="K1" s="1" t="s">
        <v>174</v>
      </c>
      <c r="L1" s="1" t="s">
        <v>175</v>
      </c>
      <c r="M1" s="1" t="s">
        <v>176</v>
      </c>
      <c r="N1" s="1" t="s">
        <v>177</v>
      </c>
      <c r="O1" s="1" t="s">
        <v>178</v>
      </c>
      <c r="P1" s="1" t="s">
        <v>179</v>
      </c>
    </row>
    <row r="2" spans="1:16" x14ac:dyDescent="0.25">
      <c r="A2" t="s">
        <v>104</v>
      </c>
      <c r="B2" t="s">
        <v>122</v>
      </c>
      <c r="C2" t="s">
        <v>122</v>
      </c>
      <c r="D2" t="s">
        <v>112</v>
      </c>
      <c r="E2" t="s">
        <v>180</v>
      </c>
      <c r="F2" t="s">
        <v>181</v>
      </c>
      <c r="G2" t="s">
        <v>182</v>
      </c>
      <c r="H2" t="s">
        <v>183</v>
      </c>
      <c r="J2" t="s">
        <v>184</v>
      </c>
    </row>
    <row r="3" spans="1:16" x14ac:dyDescent="0.25">
      <c r="A3" t="s">
        <v>104</v>
      </c>
      <c r="B3" t="s">
        <v>185</v>
      </c>
      <c r="C3" t="s">
        <v>186</v>
      </c>
      <c r="D3" t="s">
        <v>112</v>
      </c>
      <c r="E3" t="s">
        <v>180</v>
      </c>
      <c r="F3" t="s">
        <v>187</v>
      </c>
      <c r="G3" t="s">
        <v>188</v>
      </c>
    </row>
    <row r="4" spans="1:16" x14ac:dyDescent="0.25">
      <c r="A4" t="s">
        <v>104</v>
      </c>
      <c r="B4" t="s">
        <v>189</v>
      </c>
      <c r="C4" t="s">
        <v>189</v>
      </c>
      <c r="D4" t="s">
        <v>112</v>
      </c>
      <c r="E4" t="s">
        <v>190</v>
      </c>
      <c r="F4" t="s">
        <v>191</v>
      </c>
      <c r="G4" t="s">
        <v>192</v>
      </c>
      <c r="O4" t="s">
        <v>108</v>
      </c>
    </row>
    <row r="5" spans="1:16" x14ac:dyDescent="0.25">
      <c r="A5" t="s">
        <v>104</v>
      </c>
      <c r="B5" t="s">
        <v>112</v>
      </c>
      <c r="C5" t="s">
        <v>112</v>
      </c>
      <c r="F5" t="s">
        <v>193</v>
      </c>
      <c r="G5" t="s">
        <v>194</v>
      </c>
      <c r="M5" t="s">
        <v>113</v>
      </c>
    </row>
    <row r="6" spans="1:16" x14ac:dyDescent="0.25">
      <c r="A6" t="s">
        <v>104</v>
      </c>
      <c r="B6" t="s">
        <v>195</v>
      </c>
      <c r="C6" t="s">
        <v>195</v>
      </c>
      <c r="F6" t="s">
        <v>193</v>
      </c>
      <c r="G6" t="s">
        <v>194</v>
      </c>
      <c r="M6" t="s">
        <v>113</v>
      </c>
    </row>
    <row r="7" spans="1:16" x14ac:dyDescent="0.25">
      <c r="A7" t="s">
        <v>130</v>
      </c>
      <c r="B7" t="s">
        <v>189</v>
      </c>
      <c r="C7" t="s">
        <v>189</v>
      </c>
      <c r="D7" t="s">
        <v>112</v>
      </c>
      <c r="E7" t="s">
        <v>196</v>
      </c>
      <c r="F7" t="s">
        <v>197</v>
      </c>
      <c r="G7" t="s">
        <v>198</v>
      </c>
      <c r="I7" t="s">
        <v>199</v>
      </c>
      <c r="J7" t="s">
        <v>200</v>
      </c>
      <c r="O7" t="s">
        <v>108</v>
      </c>
    </row>
    <row r="8" spans="1:16" x14ac:dyDescent="0.25">
      <c r="A8" t="s">
        <v>130</v>
      </c>
      <c r="B8" t="s">
        <v>122</v>
      </c>
      <c r="C8" t="s">
        <v>122</v>
      </c>
      <c r="D8" t="s">
        <v>112</v>
      </c>
      <c r="E8" t="s">
        <v>180</v>
      </c>
      <c r="F8" t="s">
        <v>187</v>
      </c>
      <c r="G8" t="s">
        <v>201</v>
      </c>
      <c r="H8" t="s">
        <v>183</v>
      </c>
      <c r="J8" t="s">
        <v>184</v>
      </c>
    </row>
    <row r="9" spans="1:16" x14ac:dyDescent="0.25">
      <c r="A9" t="s">
        <v>130</v>
      </c>
      <c r="B9" t="s">
        <v>112</v>
      </c>
      <c r="C9" t="s">
        <v>112</v>
      </c>
      <c r="F9" t="s">
        <v>202</v>
      </c>
      <c r="G9" t="s">
        <v>203</v>
      </c>
      <c r="M9" t="s">
        <v>133</v>
      </c>
    </row>
    <row r="10" spans="1:16" x14ac:dyDescent="0.25">
      <c r="A10" t="s">
        <v>130</v>
      </c>
      <c r="B10" t="s">
        <v>204</v>
      </c>
      <c r="C10" t="s">
        <v>186</v>
      </c>
      <c r="D10" t="s">
        <v>205</v>
      </c>
      <c r="E10" t="s">
        <v>206</v>
      </c>
      <c r="F10" t="s">
        <v>207</v>
      </c>
      <c r="G10" t="s">
        <v>208</v>
      </c>
    </row>
    <row r="11" spans="1:16" x14ac:dyDescent="0.25">
      <c r="A11" t="s">
        <v>130</v>
      </c>
      <c r="B11" t="s">
        <v>195</v>
      </c>
      <c r="C11" t="s">
        <v>195</v>
      </c>
      <c r="F11" t="s">
        <v>209</v>
      </c>
      <c r="G11" t="s">
        <v>210</v>
      </c>
      <c r="M11" t="s">
        <v>133</v>
      </c>
    </row>
    <row r="12" spans="1:16" x14ac:dyDescent="0.25">
      <c r="A12" t="s">
        <v>139</v>
      </c>
      <c r="B12" t="s">
        <v>122</v>
      </c>
      <c r="C12" t="s">
        <v>122</v>
      </c>
      <c r="D12" t="s">
        <v>112</v>
      </c>
      <c r="E12" t="s">
        <v>180</v>
      </c>
      <c r="F12" t="s">
        <v>187</v>
      </c>
      <c r="G12" t="s">
        <v>201</v>
      </c>
      <c r="H12" t="s">
        <v>183</v>
      </c>
      <c r="J12" t="s">
        <v>184</v>
      </c>
    </row>
    <row r="13" spans="1:16" x14ac:dyDescent="0.25">
      <c r="A13" t="s">
        <v>139</v>
      </c>
      <c r="B13" t="s">
        <v>112</v>
      </c>
      <c r="C13" t="s">
        <v>112</v>
      </c>
      <c r="F13" t="s">
        <v>202</v>
      </c>
      <c r="G13" t="s">
        <v>203</v>
      </c>
      <c r="M13" t="s">
        <v>133</v>
      </c>
    </row>
    <row r="14" spans="1:16" x14ac:dyDescent="0.25">
      <c r="A14" t="s">
        <v>139</v>
      </c>
      <c r="B14" t="s">
        <v>189</v>
      </c>
      <c r="C14" t="s">
        <v>189</v>
      </c>
      <c r="D14" t="s">
        <v>112</v>
      </c>
      <c r="E14" t="s">
        <v>196</v>
      </c>
      <c r="F14" t="s">
        <v>197</v>
      </c>
      <c r="G14" t="s">
        <v>198</v>
      </c>
      <c r="I14" t="s">
        <v>199</v>
      </c>
      <c r="J14" t="s">
        <v>200</v>
      </c>
      <c r="O14" t="s">
        <v>108</v>
      </c>
    </row>
    <row r="15" spans="1:16" x14ac:dyDescent="0.25">
      <c r="A15" t="s">
        <v>139</v>
      </c>
      <c r="B15" t="s">
        <v>204</v>
      </c>
      <c r="C15" t="s">
        <v>186</v>
      </c>
      <c r="D15" t="s">
        <v>205</v>
      </c>
      <c r="E15" t="s">
        <v>206</v>
      </c>
      <c r="F15" t="s">
        <v>207</v>
      </c>
      <c r="G15" t="s">
        <v>208</v>
      </c>
    </row>
    <row r="16" spans="1:16" x14ac:dyDescent="0.25">
      <c r="A16" t="s">
        <v>139</v>
      </c>
      <c r="B16" t="s">
        <v>195</v>
      </c>
      <c r="C16" t="s">
        <v>195</v>
      </c>
      <c r="F16" t="s">
        <v>211</v>
      </c>
      <c r="G16" t="s">
        <v>212</v>
      </c>
      <c r="M16" t="s">
        <v>133</v>
      </c>
    </row>
    <row r="17" spans="1:15" x14ac:dyDescent="0.25">
      <c r="A17" t="s">
        <v>142</v>
      </c>
      <c r="B17" t="s">
        <v>189</v>
      </c>
      <c r="C17" t="s">
        <v>189</v>
      </c>
      <c r="D17" t="s">
        <v>112</v>
      </c>
      <c r="E17" t="s">
        <v>196</v>
      </c>
      <c r="F17" t="s">
        <v>197</v>
      </c>
      <c r="G17" t="s">
        <v>198</v>
      </c>
      <c r="I17" t="s">
        <v>199</v>
      </c>
      <c r="J17" t="s">
        <v>200</v>
      </c>
      <c r="O17" t="s">
        <v>108</v>
      </c>
    </row>
    <row r="18" spans="1:15" x14ac:dyDescent="0.25">
      <c r="A18" t="s">
        <v>142</v>
      </c>
      <c r="B18" t="s">
        <v>122</v>
      </c>
      <c r="C18" t="s">
        <v>122</v>
      </c>
      <c r="D18" t="s">
        <v>112</v>
      </c>
      <c r="E18" t="s">
        <v>180</v>
      </c>
      <c r="F18" t="s">
        <v>187</v>
      </c>
      <c r="G18" t="s">
        <v>201</v>
      </c>
      <c r="H18" t="s">
        <v>183</v>
      </c>
      <c r="J18" t="s">
        <v>184</v>
      </c>
    </row>
    <row r="19" spans="1:15" x14ac:dyDescent="0.25">
      <c r="A19" t="s">
        <v>142</v>
      </c>
      <c r="B19" t="s">
        <v>112</v>
      </c>
      <c r="C19" t="s">
        <v>112</v>
      </c>
      <c r="F19" t="s">
        <v>202</v>
      </c>
      <c r="G19" t="s">
        <v>203</v>
      </c>
      <c r="M19" t="s">
        <v>133</v>
      </c>
    </row>
    <row r="20" spans="1:15" x14ac:dyDescent="0.25">
      <c r="A20" t="s">
        <v>142</v>
      </c>
      <c r="B20" t="s">
        <v>204</v>
      </c>
      <c r="C20" t="s">
        <v>186</v>
      </c>
      <c r="D20" t="s">
        <v>205</v>
      </c>
      <c r="E20" t="s">
        <v>206</v>
      </c>
      <c r="F20" t="s">
        <v>207</v>
      </c>
      <c r="G20" t="s">
        <v>208</v>
      </c>
    </row>
    <row r="21" spans="1:15" x14ac:dyDescent="0.25">
      <c r="A21" t="s">
        <v>142</v>
      </c>
      <c r="B21" t="s">
        <v>195</v>
      </c>
      <c r="C21" t="s">
        <v>195</v>
      </c>
      <c r="F21" t="s">
        <v>213</v>
      </c>
      <c r="G21" t="s">
        <v>214</v>
      </c>
      <c r="M21" t="s">
        <v>133</v>
      </c>
    </row>
    <row r="22" spans="1:15" x14ac:dyDescent="0.25">
      <c r="A22" t="s">
        <v>144</v>
      </c>
      <c r="B22" t="s">
        <v>112</v>
      </c>
      <c r="C22" t="s">
        <v>112</v>
      </c>
      <c r="F22" t="s">
        <v>202</v>
      </c>
      <c r="G22" t="s">
        <v>203</v>
      </c>
      <c r="M22" t="s">
        <v>133</v>
      </c>
    </row>
    <row r="23" spans="1:15" x14ac:dyDescent="0.25">
      <c r="A23" t="s">
        <v>144</v>
      </c>
      <c r="B23" t="s">
        <v>204</v>
      </c>
      <c r="C23" t="s">
        <v>186</v>
      </c>
      <c r="D23" t="s">
        <v>205</v>
      </c>
      <c r="E23" t="s">
        <v>206</v>
      </c>
      <c r="F23" t="s">
        <v>207</v>
      </c>
      <c r="G23" t="s">
        <v>208</v>
      </c>
    </row>
    <row r="24" spans="1:15" x14ac:dyDescent="0.25">
      <c r="A24" t="s">
        <v>144</v>
      </c>
      <c r="B24" t="s">
        <v>195</v>
      </c>
      <c r="C24" t="s">
        <v>195</v>
      </c>
      <c r="F24" t="s">
        <v>215</v>
      </c>
      <c r="G24" t="s">
        <v>216</v>
      </c>
      <c r="M24" t="s">
        <v>133</v>
      </c>
    </row>
    <row r="25" spans="1:15" x14ac:dyDescent="0.25">
      <c r="A25" t="s">
        <v>144</v>
      </c>
      <c r="B25" t="s">
        <v>189</v>
      </c>
      <c r="C25" t="s">
        <v>189</v>
      </c>
      <c r="D25" t="s">
        <v>112</v>
      </c>
      <c r="E25" t="s">
        <v>196</v>
      </c>
      <c r="F25" t="s">
        <v>197</v>
      </c>
      <c r="G25" t="s">
        <v>198</v>
      </c>
      <c r="I25" t="s">
        <v>199</v>
      </c>
      <c r="J25" t="s">
        <v>200</v>
      </c>
      <c r="O25" t="s">
        <v>108</v>
      </c>
    </row>
    <row r="26" spans="1:15" x14ac:dyDescent="0.25">
      <c r="A26" t="s">
        <v>144</v>
      </c>
      <c r="B26" t="s">
        <v>122</v>
      </c>
      <c r="C26" t="s">
        <v>122</v>
      </c>
      <c r="D26" t="s">
        <v>112</v>
      </c>
      <c r="E26" t="s">
        <v>180</v>
      </c>
      <c r="F26" t="s">
        <v>187</v>
      </c>
      <c r="G26" t="s">
        <v>201</v>
      </c>
      <c r="H26" t="s">
        <v>183</v>
      </c>
      <c r="J26" t="s">
        <v>184</v>
      </c>
    </row>
    <row r="27" spans="1:15" x14ac:dyDescent="0.25">
      <c r="A27" t="s">
        <v>146</v>
      </c>
      <c r="B27" t="s">
        <v>189</v>
      </c>
      <c r="C27" t="s">
        <v>189</v>
      </c>
      <c r="D27" t="s">
        <v>112</v>
      </c>
      <c r="E27" t="s">
        <v>196</v>
      </c>
      <c r="F27" t="s">
        <v>197</v>
      </c>
      <c r="G27" t="s">
        <v>198</v>
      </c>
      <c r="I27" t="s">
        <v>199</v>
      </c>
      <c r="J27" t="s">
        <v>200</v>
      </c>
      <c r="O27" t="s">
        <v>108</v>
      </c>
    </row>
    <row r="28" spans="1:15" x14ac:dyDescent="0.25">
      <c r="A28" t="s">
        <v>146</v>
      </c>
      <c r="B28" t="s">
        <v>122</v>
      </c>
      <c r="C28" t="s">
        <v>122</v>
      </c>
      <c r="D28" t="s">
        <v>112</v>
      </c>
      <c r="E28" t="s">
        <v>180</v>
      </c>
      <c r="F28" t="s">
        <v>187</v>
      </c>
      <c r="G28" t="s">
        <v>201</v>
      </c>
      <c r="H28" t="s">
        <v>183</v>
      </c>
      <c r="J28" t="s">
        <v>184</v>
      </c>
    </row>
    <row r="29" spans="1:15" x14ac:dyDescent="0.25">
      <c r="A29" t="s">
        <v>146</v>
      </c>
      <c r="B29" t="s">
        <v>112</v>
      </c>
      <c r="C29" t="s">
        <v>112</v>
      </c>
      <c r="F29" t="s">
        <v>202</v>
      </c>
      <c r="G29" t="s">
        <v>203</v>
      </c>
      <c r="M29" t="s">
        <v>133</v>
      </c>
    </row>
    <row r="30" spans="1:15" x14ac:dyDescent="0.25">
      <c r="A30" t="s">
        <v>146</v>
      </c>
      <c r="B30" t="s">
        <v>204</v>
      </c>
      <c r="C30" t="s">
        <v>186</v>
      </c>
      <c r="D30" t="s">
        <v>205</v>
      </c>
      <c r="E30" t="s">
        <v>206</v>
      </c>
      <c r="F30" t="s">
        <v>207</v>
      </c>
      <c r="G30" t="s">
        <v>208</v>
      </c>
    </row>
    <row r="31" spans="1:15" x14ac:dyDescent="0.25">
      <c r="A31" t="s">
        <v>146</v>
      </c>
      <c r="B31" t="s">
        <v>195</v>
      </c>
      <c r="C31" t="s">
        <v>195</v>
      </c>
      <c r="F31" t="s">
        <v>213</v>
      </c>
      <c r="G31" t="s">
        <v>214</v>
      </c>
      <c r="M31" t="s">
        <v>133</v>
      </c>
    </row>
    <row r="32" spans="1:15" x14ac:dyDescent="0.25">
      <c r="A32" t="s">
        <v>148</v>
      </c>
      <c r="B32" t="s">
        <v>122</v>
      </c>
      <c r="C32" t="s">
        <v>122</v>
      </c>
      <c r="D32" t="s">
        <v>112</v>
      </c>
      <c r="E32" t="s">
        <v>180</v>
      </c>
      <c r="F32" t="s">
        <v>181</v>
      </c>
      <c r="G32" t="s">
        <v>182</v>
      </c>
      <c r="H32" t="s">
        <v>183</v>
      </c>
      <c r="J32" t="s">
        <v>184</v>
      </c>
    </row>
    <row r="33" spans="1:15" x14ac:dyDescent="0.25">
      <c r="A33" t="s">
        <v>148</v>
      </c>
      <c r="B33" t="s">
        <v>185</v>
      </c>
      <c r="C33" t="s">
        <v>186</v>
      </c>
      <c r="D33" t="s">
        <v>112</v>
      </c>
      <c r="E33" t="s">
        <v>180</v>
      </c>
      <c r="F33" t="s">
        <v>187</v>
      </c>
      <c r="G33" t="s">
        <v>188</v>
      </c>
    </row>
    <row r="34" spans="1:15" x14ac:dyDescent="0.25">
      <c r="A34" t="s">
        <v>148</v>
      </c>
      <c r="B34" t="s">
        <v>189</v>
      </c>
      <c r="C34" t="s">
        <v>189</v>
      </c>
      <c r="D34" t="s">
        <v>112</v>
      </c>
      <c r="E34" t="s">
        <v>190</v>
      </c>
      <c r="F34" t="s">
        <v>191</v>
      </c>
      <c r="G34" t="s">
        <v>192</v>
      </c>
      <c r="O34" t="s">
        <v>108</v>
      </c>
    </row>
    <row r="35" spans="1:15" x14ac:dyDescent="0.25">
      <c r="A35" t="s">
        <v>148</v>
      </c>
      <c r="B35" t="s">
        <v>112</v>
      </c>
      <c r="C35" t="s">
        <v>112</v>
      </c>
      <c r="F35" t="s">
        <v>217</v>
      </c>
      <c r="G35" t="s">
        <v>218</v>
      </c>
      <c r="M35" t="s">
        <v>149</v>
      </c>
    </row>
    <row r="36" spans="1:15" x14ac:dyDescent="0.25">
      <c r="A36" t="s">
        <v>148</v>
      </c>
      <c r="B36" t="s">
        <v>195</v>
      </c>
      <c r="C36" t="s">
        <v>195</v>
      </c>
      <c r="F36" t="s">
        <v>217</v>
      </c>
      <c r="G36" t="s">
        <v>218</v>
      </c>
      <c r="M36" t="s">
        <v>149</v>
      </c>
    </row>
    <row r="37" spans="1:15" x14ac:dyDescent="0.25">
      <c r="A37" t="s">
        <v>152</v>
      </c>
      <c r="B37" t="s">
        <v>189</v>
      </c>
      <c r="C37" t="s">
        <v>189</v>
      </c>
      <c r="D37" t="s">
        <v>112</v>
      </c>
      <c r="E37" t="s">
        <v>196</v>
      </c>
      <c r="F37" t="s">
        <v>197</v>
      </c>
      <c r="G37" t="s">
        <v>198</v>
      </c>
      <c r="I37" t="s">
        <v>199</v>
      </c>
      <c r="J37" t="s">
        <v>200</v>
      </c>
      <c r="O37" t="s">
        <v>108</v>
      </c>
    </row>
    <row r="38" spans="1:15" x14ac:dyDescent="0.25">
      <c r="A38" t="s">
        <v>152</v>
      </c>
      <c r="B38" t="s">
        <v>122</v>
      </c>
      <c r="C38" t="s">
        <v>122</v>
      </c>
      <c r="D38" t="s">
        <v>112</v>
      </c>
      <c r="E38" t="s">
        <v>180</v>
      </c>
      <c r="F38" t="s">
        <v>187</v>
      </c>
      <c r="G38" t="s">
        <v>201</v>
      </c>
      <c r="H38" t="s">
        <v>183</v>
      </c>
      <c r="J38" t="s">
        <v>184</v>
      </c>
    </row>
    <row r="39" spans="1:15" x14ac:dyDescent="0.25">
      <c r="A39" t="s">
        <v>152</v>
      </c>
      <c r="B39" t="s">
        <v>112</v>
      </c>
      <c r="C39" t="s">
        <v>112</v>
      </c>
      <c r="F39" t="s">
        <v>202</v>
      </c>
      <c r="G39" t="s">
        <v>203</v>
      </c>
      <c r="M39" t="s">
        <v>133</v>
      </c>
    </row>
    <row r="40" spans="1:15" x14ac:dyDescent="0.25">
      <c r="A40" t="s">
        <v>152</v>
      </c>
      <c r="B40" t="s">
        <v>204</v>
      </c>
      <c r="C40" t="s">
        <v>186</v>
      </c>
      <c r="D40" t="s">
        <v>205</v>
      </c>
      <c r="E40" t="s">
        <v>206</v>
      </c>
      <c r="F40" t="s">
        <v>207</v>
      </c>
      <c r="G40" t="s">
        <v>208</v>
      </c>
    </row>
    <row r="41" spans="1:15" x14ac:dyDescent="0.25">
      <c r="A41" t="s">
        <v>152</v>
      </c>
      <c r="B41" t="s">
        <v>195</v>
      </c>
      <c r="C41" t="s">
        <v>195</v>
      </c>
      <c r="F41" t="s">
        <v>213</v>
      </c>
      <c r="G41" t="s">
        <v>214</v>
      </c>
      <c r="M41" t="s">
        <v>133</v>
      </c>
    </row>
    <row r="42" spans="1:15" x14ac:dyDescent="0.25">
      <c r="A42" t="s">
        <v>154</v>
      </c>
      <c r="B42" t="s">
        <v>189</v>
      </c>
      <c r="C42" t="s">
        <v>189</v>
      </c>
      <c r="D42" t="s">
        <v>112</v>
      </c>
      <c r="E42" t="s">
        <v>196</v>
      </c>
      <c r="F42" t="s">
        <v>197</v>
      </c>
      <c r="G42" t="s">
        <v>198</v>
      </c>
      <c r="I42" t="s">
        <v>199</v>
      </c>
      <c r="J42" t="s">
        <v>200</v>
      </c>
      <c r="O42" t="s">
        <v>108</v>
      </c>
    </row>
    <row r="43" spans="1:15" x14ac:dyDescent="0.25">
      <c r="A43" t="s">
        <v>154</v>
      </c>
      <c r="B43" t="s">
        <v>122</v>
      </c>
      <c r="C43" t="s">
        <v>122</v>
      </c>
      <c r="D43" t="s">
        <v>112</v>
      </c>
      <c r="E43" t="s">
        <v>180</v>
      </c>
      <c r="F43" t="s">
        <v>187</v>
      </c>
      <c r="G43" t="s">
        <v>201</v>
      </c>
      <c r="H43" t="s">
        <v>183</v>
      </c>
      <c r="J43" t="s">
        <v>184</v>
      </c>
    </row>
    <row r="44" spans="1:15" x14ac:dyDescent="0.25">
      <c r="A44" t="s">
        <v>154</v>
      </c>
      <c r="B44" t="s">
        <v>112</v>
      </c>
      <c r="C44" t="s">
        <v>112</v>
      </c>
      <c r="F44" t="s">
        <v>202</v>
      </c>
      <c r="G44" t="s">
        <v>203</v>
      </c>
      <c r="M44" t="s">
        <v>133</v>
      </c>
    </row>
    <row r="45" spans="1:15" x14ac:dyDescent="0.25">
      <c r="A45" t="s">
        <v>154</v>
      </c>
      <c r="B45" t="s">
        <v>204</v>
      </c>
      <c r="C45" t="s">
        <v>186</v>
      </c>
      <c r="D45" t="s">
        <v>205</v>
      </c>
      <c r="E45" t="s">
        <v>206</v>
      </c>
      <c r="F45" t="s">
        <v>207</v>
      </c>
      <c r="G45" t="s">
        <v>208</v>
      </c>
    </row>
    <row r="46" spans="1:15" x14ac:dyDescent="0.25">
      <c r="A46" t="s">
        <v>154</v>
      </c>
      <c r="B46" t="s">
        <v>195</v>
      </c>
      <c r="C46" t="s">
        <v>195</v>
      </c>
      <c r="F46" t="s">
        <v>209</v>
      </c>
      <c r="G46" t="s">
        <v>210</v>
      </c>
      <c r="M46" t="s">
        <v>133</v>
      </c>
    </row>
    <row r="47" spans="1:15" x14ac:dyDescent="0.25">
      <c r="A47" t="s">
        <v>156</v>
      </c>
      <c r="B47" t="s">
        <v>122</v>
      </c>
      <c r="C47" t="s">
        <v>122</v>
      </c>
      <c r="D47" t="s">
        <v>112</v>
      </c>
      <c r="E47" t="s">
        <v>180</v>
      </c>
      <c r="F47" t="s">
        <v>181</v>
      </c>
      <c r="G47" t="s">
        <v>182</v>
      </c>
      <c r="H47" t="s">
        <v>183</v>
      </c>
      <c r="J47" t="s">
        <v>184</v>
      </c>
    </row>
    <row r="48" spans="1:15" x14ac:dyDescent="0.25">
      <c r="A48" t="s">
        <v>156</v>
      </c>
      <c r="B48" t="s">
        <v>185</v>
      </c>
      <c r="C48" t="s">
        <v>186</v>
      </c>
      <c r="D48" t="s">
        <v>112</v>
      </c>
      <c r="E48" t="s">
        <v>180</v>
      </c>
      <c r="F48" t="s">
        <v>187</v>
      </c>
      <c r="G48" t="s">
        <v>188</v>
      </c>
    </row>
    <row r="49" spans="1:15" x14ac:dyDescent="0.25">
      <c r="A49" t="s">
        <v>156</v>
      </c>
      <c r="B49" t="s">
        <v>189</v>
      </c>
      <c r="C49" t="s">
        <v>189</v>
      </c>
      <c r="D49" t="s">
        <v>112</v>
      </c>
      <c r="E49" t="s">
        <v>190</v>
      </c>
      <c r="F49" t="s">
        <v>191</v>
      </c>
      <c r="G49" t="s">
        <v>192</v>
      </c>
      <c r="O49" t="s">
        <v>108</v>
      </c>
    </row>
    <row r="50" spans="1:15" x14ac:dyDescent="0.25">
      <c r="A50" t="s">
        <v>156</v>
      </c>
      <c r="B50" t="s">
        <v>112</v>
      </c>
      <c r="C50" t="s">
        <v>112</v>
      </c>
      <c r="F50" t="s">
        <v>219</v>
      </c>
      <c r="G50" t="s">
        <v>220</v>
      </c>
      <c r="M50" t="s">
        <v>157</v>
      </c>
    </row>
    <row r="51" spans="1:15" x14ac:dyDescent="0.25">
      <c r="A51" t="s">
        <v>156</v>
      </c>
      <c r="B51" t="s">
        <v>195</v>
      </c>
      <c r="C51" t="s">
        <v>195</v>
      </c>
      <c r="F51" t="s">
        <v>219</v>
      </c>
      <c r="G51" t="s">
        <v>220</v>
      </c>
      <c r="M51" t="s">
        <v>157</v>
      </c>
    </row>
  </sheetData>
  <pageMargins left="0.7" right="0.7" top="0.75" bottom="0.75" header="0.3" footer="0.3"/>
  <pageSetup firstPageNumber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G47"/>
  <sheetViews>
    <sheetView workbookViewId="0"/>
  </sheetViews>
  <sheetFormatPr defaultRowHeight="15" x14ac:dyDescent="0.25"/>
  <cols>
    <col min="1" max="1" width="27.42578125" bestFit="1" customWidth="1"/>
    <col min="3" max="3" width="13.42578125" bestFit="1" customWidth="1"/>
    <col min="4" max="4" width="21.42578125" bestFit="1" customWidth="1"/>
    <col min="5" max="5" width="16.42578125" bestFit="1" customWidth="1"/>
    <col min="6" max="6" width="15.42578125" bestFit="1" customWidth="1"/>
    <col min="7" max="7" width="10.42578125" bestFit="1" customWidth="1"/>
  </cols>
  <sheetData>
    <row r="1" spans="1:7" ht="15.75" x14ac:dyDescent="0.25">
      <c r="A1" s="1" t="s">
        <v>0</v>
      </c>
      <c r="B1" s="1" t="s">
        <v>165</v>
      </c>
      <c r="C1" s="1" t="s">
        <v>1</v>
      </c>
      <c r="D1" s="1" t="s">
        <v>221</v>
      </c>
      <c r="E1" s="1" t="s">
        <v>222</v>
      </c>
      <c r="F1" s="1" t="s">
        <v>223</v>
      </c>
      <c r="G1" s="1" t="s">
        <v>224</v>
      </c>
    </row>
    <row r="2" spans="1:7" x14ac:dyDescent="0.25">
      <c r="A2" t="s">
        <v>104</v>
      </c>
      <c r="B2">
        <v>1</v>
      </c>
      <c r="C2" t="s">
        <v>225</v>
      </c>
      <c r="D2" t="s">
        <v>226</v>
      </c>
      <c r="E2" t="s">
        <v>227</v>
      </c>
    </row>
    <row r="3" spans="1:7" x14ac:dyDescent="0.25">
      <c r="A3" t="s">
        <v>104</v>
      </c>
      <c r="B3">
        <v>2</v>
      </c>
      <c r="C3" t="s">
        <v>228</v>
      </c>
      <c r="D3" t="s">
        <v>229</v>
      </c>
      <c r="E3" t="s">
        <v>121</v>
      </c>
    </row>
    <row r="4" spans="1:7" x14ac:dyDescent="0.25">
      <c r="A4" t="s">
        <v>104</v>
      </c>
      <c r="B4">
        <v>3</v>
      </c>
      <c r="C4" t="s">
        <v>230</v>
      </c>
      <c r="D4" t="s">
        <v>231</v>
      </c>
      <c r="E4" t="s">
        <v>121</v>
      </c>
    </row>
    <row r="5" spans="1:7" x14ac:dyDescent="0.25">
      <c r="A5" t="s">
        <v>104</v>
      </c>
      <c r="B5">
        <v>4</v>
      </c>
      <c r="C5" t="s">
        <v>232</v>
      </c>
      <c r="D5" t="s">
        <v>233</v>
      </c>
      <c r="E5" t="s">
        <v>121</v>
      </c>
    </row>
    <row r="6" spans="1:7" x14ac:dyDescent="0.25">
      <c r="A6" t="s">
        <v>130</v>
      </c>
      <c r="B6">
        <v>1</v>
      </c>
      <c r="C6" t="s">
        <v>225</v>
      </c>
      <c r="D6" t="s">
        <v>226</v>
      </c>
      <c r="E6" t="s">
        <v>227</v>
      </c>
    </row>
    <row r="7" spans="1:7" x14ac:dyDescent="0.25">
      <c r="A7" t="s">
        <v>130</v>
      </c>
      <c r="B7">
        <v>2</v>
      </c>
      <c r="C7" t="s">
        <v>228</v>
      </c>
      <c r="D7" t="s">
        <v>234</v>
      </c>
      <c r="E7" t="s">
        <v>121</v>
      </c>
    </row>
    <row r="8" spans="1:7" x14ac:dyDescent="0.25">
      <c r="A8" t="s">
        <v>130</v>
      </c>
      <c r="B8">
        <v>3</v>
      </c>
      <c r="C8" t="s">
        <v>230</v>
      </c>
      <c r="D8" t="s">
        <v>234</v>
      </c>
      <c r="E8" t="s">
        <v>235</v>
      </c>
    </row>
    <row r="9" spans="1:7" x14ac:dyDescent="0.25">
      <c r="A9" t="s">
        <v>130</v>
      </c>
      <c r="B9">
        <v>4</v>
      </c>
      <c r="C9" t="s">
        <v>189</v>
      </c>
      <c r="D9" t="s">
        <v>236</v>
      </c>
      <c r="E9" t="s">
        <v>237</v>
      </c>
    </row>
    <row r="10" spans="1:7" x14ac:dyDescent="0.25">
      <c r="A10" t="s">
        <v>130</v>
      </c>
      <c r="B10">
        <v>5</v>
      </c>
      <c r="C10" t="s">
        <v>189</v>
      </c>
      <c r="D10" t="s">
        <v>238</v>
      </c>
      <c r="E10" t="s">
        <v>239</v>
      </c>
    </row>
    <row r="11" spans="1:7" x14ac:dyDescent="0.25">
      <c r="A11" t="s">
        <v>130</v>
      </c>
      <c r="B11">
        <v>6</v>
      </c>
      <c r="C11" t="s">
        <v>189</v>
      </c>
      <c r="D11" t="s">
        <v>240</v>
      </c>
      <c r="E11" t="s">
        <v>241</v>
      </c>
    </row>
    <row r="12" spans="1:7" x14ac:dyDescent="0.25">
      <c r="A12" t="s">
        <v>139</v>
      </c>
      <c r="B12">
        <v>1</v>
      </c>
      <c r="C12" t="s">
        <v>225</v>
      </c>
      <c r="D12" t="s">
        <v>226</v>
      </c>
      <c r="E12" t="s">
        <v>227</v>
      </c>
    </row>
    <row r="13" spans="1:7" x14ac:dyDescent="0.25">
      <c r="A13" t="s">
        <v>139</v>
      </c>
      <c r="B13">
        <v>2</v>
      </c>
      <c r="C13" t="s">
        <v>228</v>
      </c>
      <c r="D13" t="s">
        <v>242</v>
      </c>
      <c r="E13" t="s">
        <v>121</v>
      </c>
    </row>
    <row r="14" spans="1:7" x14ac:dyDescent="0.25">
      <c r="A14" t="s">
        <v>139</v>
      </c>
      <c r="B14">
        <v>3</v>
      </c>
      <c r="C14" t="s">
        <v>230</v>
      </c>
      <c r="D14" t="s">
        <v>242</v>
      </c>
      <c r="E14" t="s">
        <v>235</v>
      </c>
    </row>
    <row r="15" spans="1:7" x14ac:dyDescent="0.25">
      <c r="A15" t="s">
        <v>139</v>
      </c>
      <c r="B15">
        <v>4</v>
      </c>
      <c r="C15" t="s">
        <v>189</v>
      </c>
      <c r="D15" t="s">
        <v>243</v>
      </c>
      <c r="E15" t="s">
        <v>244</v>
      </c>
    </row>
    <row r="16" spans="1:7" x14ac:dyDescent="0.25">
      <c r="A16" t="s">
        <v>142</v>
      </c>
      <c r="B16">
        <v>1</v>
      </c>
      <c r="C16" t="s">
        <v>225</v>
      </c>
      <c r="D16" t="s">
        <v>226</v>
      </c>
      <c r="E16" t="s">
        <v>227</v>
      </c>
    </row>
    <row r="17" spans="1:5" x14ac:dyDescent="0.25">
      <c r="A17" t="s">
        <v>142</v>
      </c>
      <c r="B17">
        <v>2</v>
      </c>
      <c r="C17" t="s">
        <v>228</v>
      </c>
      <c r="D17" t="s">
        <v>245</v>
      </c>
      <c r="E17" t="s">
        <v>121</v>
      </c>
    </row>
    <row r="18" spans="1:5" x14ac:dyDescent="0.25">
      <c r="A18" t="s">
        <v>142</v>
      </c>
      <c r="B18">
        <v>3</v>
      </c>
      <c r="C18" t="s">
        <v>230</v>
      </c>
      <c r="D18" t="s">
        <v>245</v>
      </c>
      <c r="E18" t="s">
        <v>235</v>
      </c>
    </row>
    <row r="19" spans="1:5" x14ac:dyDescent="0.25">
      <c r="A19" t="s">
        <v>142</v>
      </c>
      <c r="B19">
        <v>4</v>
      </c>
      <c r="C19" t="s">
        <v>189</v>
      </c>
      <c r="D19" t="s">
        <v>246</v>
      </c>
      <c r="E19" t="s">
        <v>247</v>
      </c>
    </row>
    <row r="20" spans="1:5" x14ac:dyDescent="0.25">
      <c r="A20" t="s">
        <v>142</v>
      </c>
      <c r="B20">
        <v>5</v>
      </c>
      <c r="C20" t="s">
        <v>189</v>
      </c>
      <c r="D20" t="s">
        <v>248</v>
      </c>
      <c r="E20" t="s">
        <v>249</v>
      </c>
    </row>
    <row r="21" spans="1:5" x14ac:dyDescent="0.25">
      <c r="A21" t="s">
        <v>144</v>
      </c>
      <c r="B21">
        <v>1</v>
      </c>
      <c r="C21" t="s">
        <v>225</v>
      </c>
      <c r="D21" t="s">
        <v>226</v>
      </c>
      <c r="E21" t="s">
        <v>227</v>
      </c>
    </row>
    <row r="22" spans="1:5" x14ac:dyDescent="0.25">
      <c r="A22" t="s">
        <v>144</v>
      </c>
      <c r="B22">
        <v>2</v>
      </c>
      <c r="C22" t="s">
        <v>228</v>
      </c>
      <c r="D22" t="s">
        <v>250</v>
      </c>
      <c r="E22" t="s">
        <v>121</v>
      </c>
    </row>
    <row r="23" spans="1:5" x14ac:dyDescent="0.25">
      <c r="A23" t="s">
        <v>144</v>
      </c>
      <c r="B23">
        <v>3</v>
      </c>
      <c r="C23" t="s">
        <v>230</v>
      </c>
      <c r="D23" t="s">
        <v>250</v>
      </c>
      <c r="E23" t="s">
        <v>235</v>
      </c>
    </row>
    <row r="24" spans="1:5" x14ac:dyDescent="0.25">
      <c r="A24" t="s">
        <v>144</v>
      </c>
      <c r="B24">
        <v>4</v>
      </c>
      <c r="C24" t="s">
        <v>189</v>
      </c>
      <c r="D24" t="s">
        <v>236</v>
      </c>
      <c r="E24" t="s">
        <v>237</v>
      </c>
    </row>
    <row r="25" spans="1:5" x14ac:dyDescent="0.25">
      <c r="A25" t="s">
        <v>144</v>
      </c>
      <c r="B25">
        <v>5</v>
      </c>
      <c r="C25" t="s">
        <v>189</v>
      </c>
      <c r="D25" t="s">
        <v>238</v>
      </c>
      <c r="E25" t="s">
        <v>239</v>
      </c>
    </row>
    <row r="26" spans="1:5" x14ac:dyDescent="0.25">
      <c r="A26" t="s">
        <v>144</v>
      </c>
      <c r="B26">
        <v>6</v>
      </c>
      <c r="C26" t="s">
        <v>189</v>
      </c>
      <c r="D26" t="s">
        <v>240</v>
      </c>
      <c r="E26" t="s">
        <v>241</v>
      </c>
    </row>
    <row r="27" spans="1:5" x14ac:dyDescent="0.25">
      <c r="A27" t="s">
        <v>146</v>
      </c>
      <c r="B27">
        <v>1</v>
      </c>
      <c r="C27" t="s">
        <v>225</v>
      </c>
      <c r="D27" t="s">
        <v>226</v>
      </c>
      <c r="E27" t="s">
        <v>227</v>
      </c>
    </row>
    <row r="28" spans="1:5" x14ac:dyDescent="0.25">
      <c r="A28" t="s">
        <v>146</v>
      </c>
      <c r="B28">
        <v>2</v>
      </c>
      <c r="C28" t="s">
        <v>228</v>
      </c>
      <c r="D28" t="s">
        <v>251</v>
      </c>
      <c r="E28" t="s">
        <v>121</v>
      </c>
    </row>
    <row r="29" spans="1:5" x14ac:dyDescent="0.25">
      <c r="A29" t="s">
        <v>146</v>
      </c>
      <c r="B29">
        <v>3</v>
      </c>
      <c r="C29" t="s">
        <v>230</v>
      </c>
      <c r="D29" t="s">
        <v>251</v>
      </c>
      <c r="E29" t="s">
        <v>235</v>
      </c>
    </row>
    <row r="30" spans="1:5" x14ac:dyDescent="0.25">
      <c r="A30" t="s">
        <v>146</v>
      </c>
      <c r="B30">
        <v>4</v>
      </c>
      <c r="C30" t="s">
        <v>189</v>
      </c>
      <c r="D30" t="s">
        <v>252</v>
      </c>
      <c r="E30" t="s">
        <v>253</v>
      </c>
    </row>
    <row r="31" spans="1:5" x14ac:dyDescent="0.25">
      <c r="A31" t="s">
        <v>148</v>
      </c>
      <c r="B31">
        <v>1</v>
      </c>
      <c r="C31" t="s">
        <v>225</v>
      </c>
      <c r="D31" t="s">
        <v>226</v>
      </c>
      <c r="E31" t="s">
        <v>227</v>
      </c>
    </row>
    <row r="32" spans="1:5" x14ac:dyDescent="0.25">
      <c r="A32" t="s">
        <v>148</v>
      </c>
      <c r="B32">
        <v>2</v>
      </c>
      <c r="C32" t="s">
        <v>228</v>
      </c>
      <c r="D32" t="s">
        <v>254</v>
      </c>
      <c r="E32" t="s">
        <v>121</v>
      </c>
    </row>
    <row r="33" spans="1:5" x14ac:dyDescent="0.25">
      <c r="A33" t="s">
        <v>148</v>
      </c>
      <c r="B33">
        <v>3</v>
      </c>
      <c r="C33" t="s">
        <v>230</v>
      </c>
      <c r="D33" t="s">
        <v>231</v>
      </c>
      <c r="E33" t="s">
        <v>121</v>
      </c>
    </row>
    <row r="34" spans="1:5" x14ac:dyDescent="0.25">
      <c r="A34" t="s">
        <v>148</v>
      </c>
      <c r="B34">
        <v>4</v>
      </c>
      <c r="C34" t="s">
        <v>232</v>
      </c>
      <c r="D34" t="s">
        <v>255</v>
      </c>
      <c r="E34" t="s">
        <v>121</v>
      </c>
    </row>
    <row r="35" spans="1:5" x14ac:dyDescent="0.25">
      <c r="A35" t="s">
        <v>148</v>
      </c>
      <c r="B35">
        <v>5</v>
      </c>
      <c r="C35" t="s">
        <v>256</v>
      </c>
      <c r="D35" t="s">
        <v>257</v>
      </c>
      <c r="E35" t="s">
        <v>121</v>
      </c>
    </row>
    <row r="36" spans="1:5" x14ac:dyDescent="0.25">
      <c r="A36" t="s">
        <v>152</v>
      </c>
      <c r="B36">
        <v>1</v>
      </c>
      <c r="C36" t="s">
        <v>225</v>
      </c>
      <c r="D36" t="s">
        <v>226</v>
      </c>
      <c r="E36" t="s">
        <v>227</v>
      </c>
    </row>
    <row r="37" spans="1:5" x14ac:dyDescent="0.25">
      <c r="A37" t="s">
        <v>152</v>
      </c>
      <c r="B37">
        <v>2</v>
      </c>
      <c r="C37" t="s">
        <v>228</v>
      </c>
      <c r="D37" t="s">
        <v>258</v>
      </c>
      <c r="E37" t="s">
        <v>121</v>
      </c>
    </row>
    <row r="38" spans="1:5" x14ac:dyDescent="0.25">
      <c r="A38" t="s">
        <v>152</v>
      </c>
      <c r="B38">
        <v>3</v>
      </c>
      <c r="C38" t="s">
        <v>230</v>
      </c>
      <c r="D38" t="s">
        <v>258</v>
      </c>
      <c r="E38" t="s">
        <v>235</v>
      </c>
    </row>
    <row r="39" spans="1:5" x14ac:dyDescent="0.25">
      <c r="A39" t="s">
        <v>152</v>
      </c>
      <c r="B39">
        <v>4</v>
      </c>
      <c r="C39" t="s">
        <v>189</v>
      </c>
      <c r="D39" t="s">
        <v>259</v>
      </c>
      <c r="E39" t="s">
        <v>260</v>
      </c>
    </row>
    <row r="40" spans="1:5" x14ac:dyDescent="0.25">
      <c r="A40" t="s">
        <v>154</v>
      </c>
      <c r="B40">
        <v>1</v>
      </c>
      <c r="C40" t="s">
        <v>225</v>
      </c>
      <c r="D40" t="s">
        <v>226</v>
      </c>
      <c r="E40" t="s">
        <v>227</v>
      </c>
    </row>
    <row r="41" spans="1:5" x14ac:dyDescent="0.25">
      <c r="A41" t="s">
        <v>154</v>
      </c>
      <c r="B41">
        <v>2</v>
      </c>
      <c r="C41" t="s">
        <v>228</v>
      </c>
      <c r="D41" t="s">
        <v>261</v>
      </c>
      <c r="E41" t="s">
        <v>121</v>
      </c>
    </row>
    <row r="42" spans="1:5" x14ac:dyDescent="0.25">
      <c r="A42" t="s">
        <v>154</v>
      </c>
      <c r="B42">
        <v>3</v>
      </c>
      <c r="C42" t="s">
        <v>230</v>
      </c>
      <c r="D42" t="s">
        <v>261</v>
      </c>
      <c r="E42" t="s">
        <v>235</v>
      </c>
    </row>
    <row r="43" spans="1:5" x14ac:dyDescent="0.25">
      <c r="A43" t="s">
        <v>154</v>
      </c>
      <c r="B43">
        <v>4</v>
      </c>
      <c r="C43" t="s">
        <v>189</v>
      </c>
      <c r="D43" t="s">
        <v>259</v>
      </c>
      <c r="E43" t="s">
        <v>247</v>
      </c>
    </row>
    <row r="44" spans="1:5" x14ac:dyDescent="0.25">
      <c r="A44" t="s">
        <v>156</v>
      </c>
      <c r="B44">
        <v>1</v>
      </c>
      <c r="C44" t="s">
        <v>225</v>
      </c>
      <c r="D44" t="s">
        <v>226</v>
      </c>
      <c r="E44" t="s">
        <v>227</v>
      </c>
    </row>
    <row r="45" spans="1:5" x14ac:dyDescent="0.25">
      <c r="A45" t="s">
        <v>156</v>
      </c>
      <c r="B45">
        <v>2</v>
      </c>
      <c r="C45" t="s">
        <v>228</v>
      </c>
      <c r="D45" t="s">
        <v>262</v>
      </c>
      <c r="E45" t="s">
        <v>121</v>
      </c>
    </row>
    <row r="46" spans="1:5" x14ac:dyDescent="0.25">
      <c r="A46" t="s">
        <v>156</v>
      </c>
      <c r="B46">
        <v>3</v>
      </c>
      <c r="C46" t="s">
        <v>230</v>
      </c>
      <c r="D46" t="s">
        <v>231</v>
      </c>
      <c r="E46" t="s">
        <v>121</v>
      </c>
    </row>
    <row r="47" spans="1:5" x14ac:dyDescent="0.25">
      <c r="A47" t="s">
        <v>156</v>
      </c>
      <c r="B47">
        <v>4</v>
      </c>
      <c r="C47" t="s">
        <v>232</v>
      </c>
      <c r="D47" t="s">
        <v>263</v>
      </c>
      <c r="E47" t="s">
        <v>121</v>
      </c>
    </row>
  </sheetData>
  <pageMargins left="0.7" right="0.7" top="0.75" bottom="0.75" header="0.3" footer="0.3"/>
  <pageSetup firstPageNumber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I11"/>
  <sheetViews>
    <sheetView workbookViewId="0"/>
  </sheetViews>
  <sheetFormatPr defaultRowHeight="15" x14ac:dyDescent="0.25"/>
  <cols>
    <col min="1" max="1" width="27.42578125" bestFit="1" customWidth="1"/>
    <col min="3" max="3" width="17.42578125" bestFit="1" customWidth="1"/>
    <col min="4" max="4" width="16.42578125" bestFit="1" customWidth="1"/>
    <col min="5" max="5" width="17.42578125" bestFit="1" customWidth="1"/>
    <col min="6" max="6" width="13.42578125" bestFit="1" customWidth="1"/>
    <col min="7" max="7" width="10.42578125" bestFit="1" customWidth="1"/>
    <col min="8" max="8" width="16.42578125" bestFit="1" customWidth="1"/>
    <col min="9" max="9" width="26.42578125" bestFit="1" customWidth="1"/>
  </cols>
  <sheetData>
    <row r="1" spans="1:9" ht="15.75" x14ac:dyDescent="0.25">
      <c r="A1" s="1" t="s">
        <v>0</v>
      </c>
      <c r="B1" s="1" t="s">
        <v>165</v>
      </c>
      <c r="C1" s="1" t="s">
        <v>264</v>
      </c>
      <c r="D1" s="1" t="s">
        <v>265</v>
      </c>
      <c r="E1" s="1" t="s">
        <v>266</v>
      </c>
      <c r="F1" s="1" t="s">
        <v>267</v>
      </c>
      <c r="G1" s="1" t="s">
        <v>268</v>
      </c>
      <c r="H1" s="1" t="s">
        <v>269</v>
      </c>
      <c r="I1" s="1" t="s">
        <v>270</v>
      </c>
    </row>
    <row r="2" spans="1:9" x14ac:dyDescent="0.25">
      <c r="A2" t="s">
        <v>104</v>
      </c>
      <c r="B2">
        <v>1</v>
      </c>
      <c r="C2" t="s">
        <v>205</v>
      </c>
      <c r="D2" t="s">
        <v>271</v>
      </c>
      <c r="E2" t="s">
        <v>272</v>
      </c>
      <c r="F2" t="s">
        <v>273</v>
      </c>
    </row>
    <row r="3" spans="1:9" x14ac:dyDescent="0.25">
      <c r="A3" t="s">
        <v>130</v>
      </c>
      <c r="B3">
        <v>1</v>
      </c>
      <c r="C3" t="s">
        <v>108</v>
      </c>
      <c r="D3" t="s">
        <v>274</v>
      </c>
      <c r="E3" t="s">
        <v>275</v>
      </c>
      <c r="F3" t="s">
        <v>276</v>
      </c>
    </row>
    <row r="4" spans="1:9" x14ac:dyDescent="0.25">
      <c r="A4" t="s">
        <v>139</v>
      </c>
      <c r="B4">
        <v>1</v>
      </c>
      <c r="C4" t="s">
        <v>108</v>
      </c>
      <c r="D4" t="s">
        <v>274</v>
      </c>
      <c r="E4" t="s">
        <v>275</v>
      </c>
      <c r="F4" t="s">
        <v>276</v>
      </c>
    </row>
    <row r="5" spans="1:9" x14ac:dyDescent="0.25">
      <c r="A5" t="s">
        <v>142</v>
      </c>
      <c r="B5">
        <v>1</v>
      </c>
      <c r="C5" t="s">
        <v>108</v>
      </c>
      <c r="D5" t="s">
        <v>274</v>
      </c>
      <c r="E5" t="s">
        <v>275</v>
      </c>
      <c r="F5" t="s">
        <v>276</v>
      </c>
    </row>
    <row r="6" spans="1:9" x14ac:dyDescent="0.25">
      <c r="A6" t="s">
        <v>144</v>
      </c>
      <c r="B6">
        <v>1</v>
      </c>
      <c r="C6" t="s">
        <v>108</v>
      </c>
      <c r="D6" t="s">
        <v>274</v>
      </c>
      <c r="E6" t="s">
        <v>275</v>
      </c>
      <c r="F6" t="s">
        <v>276</v>
      </c>
    </row>
    <row r="7" spans="1:9" x14ac:dyDescent="0.25">
      <c r="A7" t="s">
        <v>146</v>
      </c>
      <c r="B7">
        <v>1</v>
      </c>
      <c r="C7" t="s">
        <v>108</v>
      </c>
      <c r="D7" t="s">
        <v>274</v>
      </c>
      <c r="E7" t="s">
        <v>275</v>
      </c>
      <c r="F7" t="s">
        <v>276</v>
      </c>
    </row>
    <row r="8" spans="1:9" x14ac:dyDescent="0.25">
      <c r="A8" t="s">
        <v>148</v>
      </c>
      <c r="B8">
        <v>1</v>
      </c>
      <c r="C8" t="s">
        <v>205</v>
      </c>
      <c r="D8" t="s">
        <v>271</v>
      </c>
      <c r="E8" t="s">
        <v>272</v>
      </c>
      <c r="F8" t="s">
        <v>273</v>
      </c>
    </row>
    <row r="9" spans="1:9" x14ac:dyDescent="0.25">
      <c r="A9" t="s">
        <v>152</v>
      </c>
      <c r="B9">
        <v>1</v>
      </c>
      <c r="C9" t="s">
        <v>108</v>
      </c>
      <c r="D9" t="s">
        <v>274</v>
      </c>
      <c r="E9" t="s">
        <v>275</v>
      </c>
      <c r="F9" t="s">
        <v>276</v>
      </c>
    </row>
    <row r="10" spans="1:9" x14ac:dyDescent="0.25">
      <c r="A10" t="s">
        <v>154</v>
      </c>
      <c r="B10">
        <v>1</v>
      </c>
      <c r="C10" t="s">
        <v>108</v>
      </c>
      <c r="D10" t="s">
        <v>274</v>
      </c>
      <c r="E10" t="s">
        <v>275</v>
      </c>
      <c r="F10" t="s">
        <v>276</v>
      </c>
    </row>
    <row r="11" spans="1:9" x14ac:dyDescent="0.25">
      <c r="A11" t="s">
        <v>156</v>
      </c>
      <c r="B11">
        <v>1</v>
      </c>
      <c r="C11" t="s">
        <v>205</v>
      </c>
      <c r="D11" t="s">
        <v>271</v>
      </c>
      <c r="E11" t="s">
        <v>272</v>
      </c>
      <c r="F11" t="s">
        <v>273</v>
      </c>
    </row>
  </sheetData>
  <pageMargins left="0.7" right="0.7" top="0.75" bottom="0.75" header="0.3" footer="0.3"/>
  <pageSetup firstPageNumber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E11"/>
  <sheetViews>
    <sheetView workbookViewId="0"/>
  </sheetViews>
  <sheetFormatPr defaultRowHeight="15" x14ac:dyDescent="0.25"/>
  <cols>
    <col min="1" max="1" width="27.42578125" bestFit="1" customWidth="1"/>
    <col min="3" max="3" width="13.42578125" bestFit="1" customWidth="1"/>
    <col min="4" max="4" width="15.42578125" bestFit="1" customWidth="1"/>
    <col min="5" max="5" width="9.42578125" bestFit="1" customWidth="1"/>
  </cols>
  <sheetData>
    <row r="1" spans="1:5" ht="15.75" x14ac:dyDescent="0.25">
      <c r="A1" s="1" t="s">
        <v>0</v>
      </c>
      <c r="B1" s="1" t="s">
        <v>165</v>
      </c>
      <c r="C1" s="1" t="s">
        <v>277</v>
      </c>
      <c r="D1" s="1" t="s">
        <v>278</v>
      </c>
      <c r="E1" s="1" t="s">
        <v>279</v>
      </c>
    </row>
    <row r="2" spans="1:5" x14ac:dyDescent="0.25">
      <c r="A2" t="s">
        <v>104</v>
      </c>
      <c r="B2">
        <v>1</v>
      </c>
      <c r="C2" t="s">
        <v>280</v>
      </c>
      <c r="D2">
        <v>1</v>
      </c>
      <c r="E2" t="s">
        <v>231</v>
      </c>
    </row>
    <row r="3" spans="1:5" x14ac:dyDescent="0.25">
      <c r="A3" t="s">
        <v>130</v>
      </c>
      <c r="B3">
        <v>1</v>
      </c>
      <c r="C3" t="s">
        <v>281</v>
      </c>
      <c r="D3">
        <v>79</v>
      </c>
      <c r="E3" t="s">
        <v>282</v>
      </c>
    </row>
    <row r="4" spans="1:5" x14ac:dyDescent="0.25">
      <c r="A4" t="s">
        <v>139</v>
      </c>
      <c r="B4">
        <v>1</v>
      </c>
      <c r="C4" t="s">
        <v>281</v>
      </c>
      <c r="D4">
        <v>43</v>
      </c>
      <c r="E4" t="s">
        <v>282</v>
      </c>
    </row>
    <row r="5" spans="1:5" x14ac:dyDescent="0.25">
      <c r="A5" t="s">
        <v>142</v>
      </c>
      <c r="B5">
        <v>1</v>
      </c>
      <c r="C5" t="s">
        <v>281</v>
      </c>
      <c r="D5">
        <v>23</v>
      </c>
      <c r="E5" t="s">
        <v>282</v>
      </c>
    </row>
    <row r="6" spans="1:5" x14ac:dyDescent="0.25">
      <c r="A6" t="s">
        <v>144</v>
      </c>
      <c r="B6">
        <v>1</v>
      </c>
      <c r="C6" t="s">
        <v>281</v>
      </c>
      <c r="D6">
        <v>97</v>
      </c>
      <c r="E6" t="s">
        <v>282</v>
      </c>
    </row>
    <row r="7" spans="1:5" x14ac:dyDescent="0.25">
      <c r="A7" t="s">
        <v>146</v>
      </c>
      <c r="B7">
        <v>1</v>
      </c>
      <c r="C7" t="s">
        <v>281</v>
      </c>
      <c r="D7">
        <v>4</v>
      </c>
      <c r="E7" t="s">
        <v>282</v>
      </c>
    </row>
    <row r="8" spans="1:5" x14ac:dyDescent="0.25">
      <c r="A8" t="s">
        <v>148</v>
      </c>
      <c r="B8">
        <v>1</v>
      </c>
      <c r="C8" t="s">
        <v>280</v>
      </c>
      <c r="D8">
        <v>1</v>
      </c>
      <c r="E8" t="s">
        <v>231</v>
      </c>
    </row>
    <row r="9" spans="1:5" x14ac:dyDescent="0.25">
      <c r="A9" t="s">
        <v>152</v>
      </c>
      <c r="B9">
        <v>1</v>
      </c>
      <c r="C9" t="s">
        <v>281</v>
      </c>
      <c r="D9">
        <v>15</v>
      </c>
      <c r="E9" t="s">
        <v>282</v>
      </c>
    </row>
    <row r="10" spans="1:5" x14ac:dyDescent="0.25">
      <c r="A10" t="s">
        <v>154</v>
      </c>
      <c r="B10">
        <v>1</v>
      </c>
      <c r="C10" t="s">
        <v>281</v>
      </c>
      <c r="D10">
        <v>20</v>
      </c>
      <c r="E10" t="s">
        <v>282</v>
      </c>
    </row>
    <row r="11" spans="1:5" x14ac:dyDescent="0.25">
      <c r="A11" t="s">
        <v>156</v>
      </c>
      <c r="B11">
        <v>1</v>
      </c>
      <c r="C11" t="s">
        <v>280</v>
      </c>
      <c r="D11">
        <v>1</v>
      </c>
      <c r="E11" t="s">
        <v>231</v>
      </c>
    </row>
  </sheetData>
  <pageMargins left="0.7" right="0.7" top="0.75" bottom="0.75" header="0.3" footer="0.3"/>
  <pageSetup firstPageNumber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F1"/>
  <sheetViews>
    <sheetView workbookViewId="0"/>
  </sheetViews>
  <sheetFormatPr defaultRowHeight="15" x14ac:dyDescent="0.25"/>
  <cols>
    <col min="1" max="1" width="10.42578125" bestFit="1" customWidth="1"/>
    <col min="3" max="3" width="15.42578125" bestFit="1" customWidth="1"/>
    <col min="4" max="4" width="22.42578125" bestFit="1" customWidth="1"/>
    <col min="5" max="5" width="21.42578125" bestFit="1" customWidth="1"/>
    <col min="6" max="6" width="20.42578125" bestFit="1" customWidth="1"/>
  </cols>
  <sheetData>
    <row r="1" spans="1:6" ht="15.75" x14ac:dyDescent="0.25">
      <c r="A1" s="1" t="s">
        <v>0</v>
      </c>
      <c r="B1" s="1" t="s">
        <v>165</v>
      </c>
      <c r="C1" s="1" t="s">
        <v>283</v>
      </c>
      <c r="D1" s="1" t="s">
        <v>284</v>
      </c>
      <c r="E1" s="1" t="s">
        <v>285</v>
      </c>
      <c r="F1" s="1" t="s">
        <v>286</v>
      </c>
    </row>
  </sheetData>
  <pageMargins left="0.7" right="0.7" top="0.75" bottom="0.75" header="0.3" footer="0.3"/>
  <pageSetup firstPageNumber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T1"/>
  <sheetViews>
    <sheetView workbookViewId="0"/>
  </sheetViews>
  <sheetFormatPr defaultRowHeight="15" x14ac:dyDescent="0.25"/>
  <cols>
    <col min="1" max="1" width="10.42578125" bestFit="1" customWidth="1"/>
    <col min="2" max="2" width="12.42578125" bestFit="1" customWidth="1"/>
    <col min="3" max="3" width="14.42578125" bestFit="1" customWidth="1"/>
    <col min="4" max="4" width="26.42578125" bestFit="1" customWidth="1"/>
    <col min="6" max="8" width="17.42578125" bestFit="1" customWidth="1"/>
    <col min="11" max="11" width="9.42578125" bestFit="1" customWidth="1"/>
    <col min="12" max="12" width="19.42578125" bestFit="1" customWidth="1"/>
    <col min="13" max="13" width="15.42578125" bestFit="1" customWidth="1"/>
    <col min="14" max="14" width="9.42578125" bestFit="1" customWidth="1"/>
    <col min="16" max="16" width="26.42578125" bestFit="1" customWidth="1"/>
    <col min="17" max="17" width="18.42578125" bestFit="1" customWidth="1"/>
    <col min="18" max="18" width="21.42578125" bestFit="1" customWidth="1"/>
  </cols>
  <sheetData>
    <row r="1" spans="1:20" ht="15.75" x14ac:dyDescent="0.25">
      <c r="A1" s="1" t="s">
        <v>0</v>
      </c>
      <c r="B1" s="1" t="s">
        <v>404</v>
      </c>
      <c r="C1" s="1" t="s">
        <v>405</v>
      </c>
      <c r="D1" s="1" t="s">
        <v>406</v>
      </c>
      <c r="E1" s="1" t="s">
        <v>307</v>
      </c>
      <c r="F1" s="1" t="s">
        <v>407</v>
      </c>
      <c r="G1" s="1" t="s">
        <v>408</v>
      </c>
      <c r="H1" s="1" t="s">
        <v>409</v>
      </c>
      <c r="I1" s="1" t="s">
        <v>410</v>
      </c>
      <c r="J1" s="1" t="s">
        <v>411</v>
      </c>
      <c r="K1" s="1" t="s">
        <v>412</v>
      </c>
      <c r="L1" s="1" t="s">
        <v>413</v>
      </c>
      <c r="M1" s="1" t="s">
        <v>414</v>
      </c>
      <c r="N1" s="1" t="s">
        <v>60</v>
      </c>
      <c r="O1" s="1" t="s">
        <v>415</v>
      </c>
      <c r="P1" s="1" t="s">
        <v>416</v>
      </c>
      <c r="Q1" s="1" t="s">
        <v>417</v>
      </c>
      <c r="R1" s="1" t="s">
        <v>418</v>
      </c>
      <c r="S1" s="1" t="s">
        <v>419</v>
      </c>
      <c r="T1" s="1" t="s">
        <v>420</v>
      </c>
    </row>
  </sheetData>
  <pageMargins left="0.7" right="0.7" top="0.75" bottom="0.75" header="0.3" footer="0.3"/>
  <pageSetup firstPageNumber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BR17"/>
  <sheetViews>
    <sheetView tabSelected="1" workbookViewId="0">
      <selection activeCell="E12" sqref="E12"/>
    </sheetView>
  </sheetViews>
  <sheetFormatPr defaultRowHeight="15" x14ac:dyDescent="0.25"/>
  <cols>
    <col min="1" max="1" width="27.42578125" bestFit="1" customWidth="1"/>
    <col min="2" max="2" width="12.42578125" bestFit="1" customWidth="1"/>
    <col min="3" max="3" width="9.42578125" bestFit="1" customWidth="1"/>
    <col min="4" max="4" width="13.42578125" bestFit="1" customWidth="1"/>
    <col min="5" max="5" width="165.42578125" bestFit="1" customWidth="1"/>
    <col min="6" max="6" width="9.42578125" bestFit="1" customWidth="1"/>
    <col min="9" max="9" width="17.42578125" bestFit="1" customWidth="1"/>
    <col min="10" max="10" width="12.42578125" bestFit="1" customWidth="1"/>
    <col min="11" max="11" width="14.42578125" bestFit="1" customWidth="1"/>
    <col min="12" max="12" width="13.42578125" customWidth="1"/>
    <col min="13" max="13" width="15.42578125" customWidth="1"/>
    <col min="14" max="14" width="18.42578125" customWidth="1"/>
    <col min="15" max="15" width="17.42578125" customWidth="1"/>
    <col min="16" max="16" width="18.42578125" customWidth="1"/>
    <col min="17" max="17" width="20.42578125" customWidth="1"/>
    <col min="18" max="18" width="15.42578125" customWidth="1"/>
    <col min="19" max="19" width="17.42578125" customWidth="1"/>
    <col min="20" max="22" width="9.140625" customWidth="1"/>
    <col min="23" max="23" width="11.42578125" customWidth="1"/>
    <col min="24" max="24" width="12.42578125" customWidth="1"/>
    <col min="25" max="25" width="17.42578125" customWidth="1"/>
    <col min="26" max="26" width="9.140625" customWidth="1"/>
    <col min="27" max="27" width="11.42578125" customWidth="1"/>
    <col min="28" max="28" width="9.140625" customWidth="1"/>
    <col min="30" max="30" width="9.42578125" customWidth="1"/>
    <col min="31" max="31" width="9.140625" customWidth="1"/>
    <col min="32" max="32" width="13.42578125" customWidth="1"/>
    <col min="33" max="33" width="9.140625" customWidth="1"/>
    <col min="34" max="34" width="17.42578125" customWidth="1"/>
    <col min="35" max="35" width="16.42578125" customWidth="1"/>
    <col min="36" max="36" width="21.7109375" customWidth="1"/>
    <col min="37" max="37" width="13.42578125" bestFit="1" customWidth="1"/>
    <col min="38" max="38" width="14.42578125" bestFit="1" customWidth="1"/>
    <col min="39" max="39" width="13.42578125" bestFit="1" customWidth="1"/>
    <col min="40" max="40" width="11.42578125" bestFit="1" customWidth="1"/>
    <col min="41" max="41" width="17.42578125" bestFit="1" customWidth="1"/>
    <col min="42" max="42" width="13.42578125" bestFit="1" customWidth="1"/>
    <col min="43" max="47" width="17.42578125" bestFit="1" customWidth="1"/>
    <col min="48" max="48" width="20.42578125" bestFit="1" customWidth="1"/>
    <col min="49" max="49" width="21.42578125" bestFit="1" customWidth="1"/>
    <col min="50" max="50" width="20.42578125" bestFit="1" customWidth="1"/>
    <col min="51" max="52" width="17.42578125" bestFit="1" customWidth="1"/>
    <col min="53" max="53" width="18.42578125" bestFit="1" customWidth="1"/>
    <col min="54" max="54" width="13.42578125" bestFit="1" customWidth="1"/>
    <col min="55" max="55" width="10.42578125" bestFit="1" customWidth="1"/>
    <col min="56" max="56" width="16.42578125" bestFit="1" customWidth="1"/>
    <col min="57" max="57" width="19.42578125" bestFit="1" customWidth="1"/>
    <col min="58" max="58" width="9.42578125" bestFit="1" customWidth="1"/>
    <col min="59" max="59" width="18.42578125" bestFit="1" customWidth="1"/>
    <col min="60" max="60" width="22.42578125" bestFit="1" customWidth="1"/>
    <col min="61" max="61" width="9.42578125" bestFit="1" customWidth="1"/>
    <col min="62" max="62" width="16.42578125" bestFit="1" customWidth="1"/>
    <col min="63" max="64" width="18.42578125" bestFit="1" customWidth="1"/>
    <col min="65" max="65" width="10.42578125" bestFit="1" customWidth="1"/>
    <col min="66" max="66" width="12.42578125" bestFit="1" customWidth="1"/>
    <col min="67" max="67" width="18.42578125" bestFit="1" customWidth="1"/>
    <col min="68" max="68" width="23.42578125" bestFit="1" customWidth="1"/>
    <col min="69" max="69" width="30.42578125" bestFit="1" customWidth="1"/>
    <col min="70" max="70" width="26.42578125" bestFit="1" customWidth="1"/>
  </cols>
  <sheetData>
    <row r="1" spans="1:70" ht="15.75" x14ac:dyDescent="0.25">
      <c r="A1" s="1" t="s">
        <v>0</v>
      </c>
      <c r="B1" s="1" t="s">
        <v>287</v>
      </c>
      <c r="C1" s="1" t="s">
        <v>288</v>
      </c>
      <c r="D1" s="1" t="s">
        <v>289</v>
      </c>
      <c r="E1" s="1" t="s">
        <v>290</v>
      </c>
      <c r="F1" s="1" t="s">
        <v>279</v>
      </c>
      <c r="G1" s="1" t="s">
        <v>291</v>
      </c>
      <c r="H1" s="1" t="s">
        <v>292</v>
      </c>
      <c r="I1" s="1" t="s">
        <v>293</v>
      </c>
      <c r="J1" s="1" t="s">
        <v>294</v>
      </c>
      <c r="K1" s="1" t="s">
        <v>295</v>
      </c>
      <c r="L1" s="1" t="s">
        <v>277</v>
      </c>
      <c r="M1" s="1" t="s">
        <v>278</v>
      </c>
      <c r="N1" s="1" t="s">
        <v>296</v>
      </c>
      <c r="O1" s="1" t="s">
        <v>297</v>
      </c>
      <c r="P1" s="1" t="s">
        <v>298</v>
      </c>
      <c r="Q1" s="1" t="s">
        <v>299</v>
      </c>
      <c r="R1" s="1" t="s">
        <v>300</v>
      </c>
      <c r="S1" s="1" t="s">
        <v>301</v>
      </c>
      <c r="T1" s="1" t="s">
        <v>77</v>
      </c>
      <c r="U1" s="1" t="s">
        <v>76</v>
      </c>
      <c r="V1" s="1" t="s">
        <v>78</v>
      </c>
      <c r="W1" s="1" t="s">
        <v>302</v>
      </c>
      <c r="X1" s="1" t="s">
        <v>303</v>
      </c>
      <c r="Y1" s="1" t="s">
        <v>304</v>
      </c>
      <c r="Z1" s="1" t="s">
        <v>69</v>
      </c>
      <c r="AA1" s="1" t="s">
        <v>305</v>
      </c>
      <c r="AB1" s="1" t="s">
        <v>71</v>
      </c>
      <c r="AC1" s="1" t="s">
        <v>65</v>
      </c>
      <c r="AD1" s="1" t="s">
        <v>60</v>
      </c>
      <c r="AE1" s="1" t="s">
        <v>64</v>
      </c>
      <c r="AF1" s="1" t="s">
        <v>306</v>
      </c>
      <c r="AG1" s="1" t="s">
        <v>307</v>
      </c>
      <c r="AH1" s="1" t="s">
        <v>308</v>
      </c>
      <c r="AI1" s="1" t="s">
        <v>309</v>
      </c>
      <c r="AJ1" s="1" t="s">
        <v>310</v>
      </c>
      <c r="AK1" s="1" t="s">
        <v>311</v>
      </c>
      <c r="AL1" s="1" t="s">
        <v>312</v>
      </c>
      <c r="AM1" s="1" t="s">
        <v>61</v>
      </c>
      <c r="AN1" s="1" t="s">
        <v>74</v>
      </c>
      <c r="AO1" s="1" t="s">
        <v>313</v>
      </c>
      <c r="AP1" s="1" t="s">
        <v>314</v>
      </c>
      <c r="AQ1" s="1" t="s">
        <v>315</v>
      </c>
      <c r="AR1" s="1" t="s">
        <v>316</v>
      </c>
      <c r="AS1" s="1" t="s">
        <v>30</v>
      </c>
      <c r="AT1" s="1" t="s">
        <v>317</v>
      </c>
      <c r="AU1" s="1" t="s">
        <v>88</v>
      </c>
      <c r="AV1" s="1" t="s">
        <v>318</v>
      </c>
      <c r="AW1" s="1" t="s">
        <v>319</v>
      </c>
      <c r="AX1" s="1" t="s">
        <v>320</v>
      </c>
      <c r="AY1" s="1" t="s">
        <v>321</v>
      </c>
      <c r="AZ1" s="1" t="s">
        <v>322</v>
      </c>
      <c r="BA1" s="1" t="s">
        <v>323</v>
      </c>
      <c r="BB1" s="1" t="s">
        <v>324</v>
      </c>
      <c r="BC1" s="1" t="s">
        <v>325</v>
      </c>
      <c r="BD1" s="1" t="s">
        <v>326</v>
      </c>
      <c r="BE1" s="1" t="s">
        <v>327</v>
      </c>
      <c r="BF1" s="1" t="s">
        <v>328</v>
      </c>
      <c r="BG1" s="1" t="s">
        <v>329</v>
      </c>
      <c r="BH1" s="1" t="s">
        <v>330</v>
      </c>
      <c r="BI1" s="1" t="s">
        <v>331</v>
      </c>
      <c r="BJ1" s="1" t="s">
        <v>332</v>
      </c>
      <c r="BK1" s="1" t="s">
        <v>333</v>
      </c>
      <c r="BL1" s="1" t="s">
        <v>334</v>
      </c>
      <c r="BM1" s="1" t="s">
        <v>335</v>
      </c>
      <c r="BN1" s="1" t="s">
        <v>336</v>
      </c>
      <c r="BO1" s="1" t="s">
        <v>8</v>
      </c>
      <c r="BP1" s="1" t="s">
        <v>337</v>
      </c>
      <c r="BQ1" s="1" t="s">
        <v>338</v>
      </c>
      <c r="BR1" s="1" t="s">
        <v>339</v>
      </c>
    </row>
    <row r="2" spans="1:70" x14ac:dyDescent="0.25">
      <c r="A2" t="s">
        <v>104</v>
      </c>
      <c r="B2">
        <v>1</v>
      </c>
      <c r="C2" t="s">
        <v>340</v>
      </c>
      <c r="D2" t="s">
        <v>341</v>
      </c>
      <c r="E2" t="s">
        <v>342</v>
      </c>
      <c r="F2" t="s">
        <v>231</v>
      </c>
      <c r="G2" t="s">
        <v>231</v>
      </c>
      <c r="H2" t="s">
        <v>231</v>
      </c>
      <c r="I2" t="s">
        <v>231</v>
      </c>
      <c r="J2" t="s">
        <v>343</v>
      </c>
      <c r="K2">
        <v>2</v>
      </c>
      <c r="L2" t="s">
        <v>280</v>
      </c>
      <c r="M2">
        <v>1</v>
      </c>
      <c r="T2">
        <v>0.85</v>
      </c>
      <c r="Z2">
        <v>0</v>
      </c>
      <c r="AA2">
        <v>0</v>
      </c>
      <c r="AB2">
        <v>16671</v>
      </c>
      <c r="AC2">
        <v>2</v>
      </c>
      <c r="AF2">
        <v>0</v>
      </c>
      <c r="AG2">
        <v>0</v>
      </c>
      <c r="AH2">
        <v>0</v>
      </c>
      <c r="AI2">
        <v>0</v>
      </c>
      <c r="AJ2">
        <v>1</v>
      </c>
      <c r="AK2">
        <v>0</v>
      </c>
      <c r="AM2">
        <v>0</v>
      </c>
      <c r="AN2">
        <v>0</v>
      </c>
      <c r="AS2" t="s">
        <v>344</v>
      </c>
      <c r="AY2" t="s">
        <v>345</v>
      </c>
      <c r="BJ2">
        <v>0</v>
      </c>
      <c r="BO2" t="s">
        <v>108</v>
      </c>
      <c r="BR2" t="s">
        <v>129</v>
      </c>
    </row>
    <row r="3" spans="1:70" x14ac:dyDescent="0.25">
      <c r="A3" t="s">
        <v>130</v>
      </c>
      <c r="B3">
        <v>2</v>
      </c>
      <c r="C3" t="s">
        <v>346</v>
      </c>
      <c r="D3" t="s">
        <v>347</v>
      </c>
      <c r="E3" t="s">
        <v>348</v>
      </c>
      <c r="F3" t="s">
        <v>282</v>
      </c>
      <c r="G3" t="s">
        <v>231</v>
      </c>
      <c r="H3" t="s">
        <v>231</v>
      </c>
      <c r="I3" t="s">
        <v>231</v>
      </c>
      <c r="J3" t="s">
        <v>343</v>
      </c>
      <c r="K3">
        <v>4730</v>
      </c>
      <c r="L3" t="s">
        <v>281</v>
      </c>
      <c r="M3">
        <v>28</v>
      </c>
      <c r="T3">
        <v>353.33</v>
      </c>
      <c r="Z3">
        <v>0</v>
      </c>
      <c r="AA3">
        <v>0</v>
      </c>
      <c r="AB3">
        <v>16671</v>
      </c>
      <c r="AC3">
        <v>8655.9</v>
      </c>
      <c r="AF3">
        <v>0</v>
      </c>
      <c r="AG3">
        <v>0</v>
      </c>
      <c r="AH3">
        <v>0</v>
      </c>
      <c r="AI3">
        <v>0</v>
      </c>
      <c r="AJ3">
        <v>1.83</v>
      </c>
      <c r="AK3">
        <v>0</v>
      </c>
      <c r="AM3">
        <v>0</v>
      </c>
      <c r="AN3">
        <v>0</v>
      </c>
      <c r="AS3" t="s">
        <v>344</v>
      </c>
      <c r="AY3" t="s">
        <v>345</v>
      </c>
      <c r="BJ3">
        <v>0</v>
      </c>
      <c r="BO3" t="s">
        <v>108</v>
      </c>
      <c r="BR3" t="s">
        <v>129</v>
      </c>
    </row>
    <row r="4" spans="1:70" x14ac:dyDescent="0.25">
      <c r="A4" t="s">
        <v>130</v>
      </c>
      <c r="B4">
        <v>1</v>
      </c>
      <c r="C4" t="s">
        <v>346</v>
      </c>
      <c r="D4" t="s">
        <v>347</v>
      </c>
      <c r="E4" t="s">
        <v>349</v>
      </c>
      <c r="F4" t="s">
        <v>282</v>
      </c>
      <c r="G4" t="s">
        <v>231</v>
      </c>
      <c r="H4" t="s">
        <v>231</v>
      </c>
      <c r="I4" t="s">
        <v>231</v>
      </c>
      <c r="J4" t="s">
        <v>343</v>
      </c>
      <c r="K4">
        <v>8470</v>
      </c>
      <c r="L4" t="s">
        <v>281</v>
      </c>
      <c r="M4">
        <v>51</v>
      </c>
      <c r="T4">
        <v>655.9</v>
      </c>
      <c r="Z4">
        <v>0</v>
      </c>
      <c r="AA4">
        <v>0</v>
      </c>
      <c r="AB4">
        <v>16671</v>
      </c>
      <c r="AC4">
        <v>17278.8</v>
      </c>
      <c r="AF4">
        <v>0</v>
      </c>
      <c r="AG4">
        <v>0</v>
      </c>
      <c r="AH4">
        <v>0</v>
      </c>
      <c r="AI4">
        <v>0</v>
      </c>
      <c r="AJ4">
        <v>2.04</v>
      </c>
      <c r="AK4">
        <v>0</v>
      </c>
      <c r="AM4">
        <v>0</v>
      </c>
      <c r="AN4">
        <v>0</v>
      </c>
      <c r="AS4" t="s">
        <v>344</v>
      </c>
      <c r="AY4" t="s">
        <v>345</v>
      </c>
      <c r="BJ4">
        <v>0</v>
      </c>
      <c r="BO4" t="s">
        <v>108</v>
      </c>
      <c r="BR4" t="s">
        <v>129</v>
      </c>
    </row>
    <row r="5" spans="1:70" x14ac:dyDescent="0.25">
      <c r="A5" t="s">
        <v>139</v>
      </c>
      <c r="B5">
        <v>1</v>
      </c>
      <c r="C5" t="s">
        <v>350</v>
      </c>
      <c r="D5" t="s">
        <v>351</v>
      </c>
      <c r="E5" t="s">
        <v>352</v>
      </c>
      <c r="F5" t="s">
        <v>282</v>
      </c>
      <c r="G5" t="s">
        <v>231</v>
      </c>
      <c r="H5" t="s">
        <v>231</v>
      </c>
      <c r="I5" t="s">
        <v>231</v>
      </c>
      <c r="J5" t="s">
        <v>343</v>
      </c>
      <c r="K5">
        <v>6159</v>
      </c>
      <c r="L5" t="s">
        <v>281</v>
      </c>
      <c r="M5">
        <v>43</v>
      </c>
      <c r="T5">
        <v>446.71600000000001</v>
      </c>
      <c r="Z5">
        <v>0</v>
      </c>
      <c r="AA5">
        <v>0</v>
      </c>
      <c r="AB5">
        <v>16671</v>
      </c>
      <c r="AC5">
        <v>9320.6200000000008</v>
      </c>
      <c r="AF5">
        <v>0</v>
      </c>
      <c r="AG5">
        <v>0</v>
      </c>
      <c r="AH5">
        <v>0</v>
      </c>
      <c r="AI5">
        <v>0</v>
      </c>
      <c r="AJ5" s="3">
        <f>AC5/K5</f>
        <v>1.5133333333333334</v>
      </c>
      <c r="AK5">
        <v>0</v>
      </c>
      <c r="AM5">
        <v>0</v>
      </c>
      <c r="AN5">
        <v>0</v>
      </c>
      <c r="AS5" t="s">
        <v>344</v>
      </c>
      <c r="AY5" t="s">
        <v>345</v>
      </c>
      <c r="BJ5">
        <v>0</v>
      </c>
      <c r="BO5" t="s">
        <v>108</v>
      </c>
      <c r="BR5" t="s">
        <v>129</v>
      </c>
    </row>
    <row r="6" spans="1:70" x14ac:dyDescent="0.25">
      <c r="A6" t="s">
        <v>142</v>
      </c>
      <c r="B6">
        <v>1</v>
      </c>
      <c r="C6" t="s">
        <v>350</v>
      </c>
      <c r="D6" t="s">
        <v>353</v>
      </c>
      <c r="E6" t="s">
        <v>354</v>
      </c>
      <c r="F6" t="s">
        <v>282</v>
      </c>
      <c r="G6" t="s">
        <v>231</v>
      </c>
      <c r="H6" t="s">
        <v>231</v>
      </c>
      <c r="I6" t="s">
        <v>231</v>
      </c>
      <c r="J6" t="s">
        <v>343</v>
      </c>
      <c r="K6">
        <v>543</v>
      </c>
      <c r="L6" t="s">
        <v>281</v>
      </c>
      <c r="M6">
        <v>8</v>
      </c>
      <c r="T6">
        <v>45.16</v>
      </c>
      <c r="Z6">
        <v>0</v>
      </c>
      <c r="AA6">
        <v>0</v>
      </c>
      <c r="AB6">
        <v>16671</v>
      </c>
      <c r="AC6">
        <v>1498.68</v>
      </c>
      <c r="AF6">
        <v>0</v>
      </c>
      <c r="AG6">
        <v>0</v>
      </c>
      <c r="AH6">
        <v>0</v>
      </c>
      <c r="AI6">
        <v>0</v>
      </c>
      <c r="AJ6">
        <v>2.76</v>
      </c>
      <c r="AK6">
        <v>0</v>
      </c>
      <c r="AM6">
        <v>0</v>
      </c>
      <c r="AN6">
        <v>0</v>
      </c>
      <c r="AS6" t="s">
        <v>344</v>
      </c>
      <c r="AY6" t="s">
        <v>345</v>
      </c>
      <c r="BJ6">
        <v>0</v>
      </c>
      <c r="BO6" t="s">
        <v>108</v>
      </c>
      <c r="BR6" t="s">
        <v>129</v>
      </c>
    </row>
    <row r="7" spans="1:70" x14ac:dyDescent="0.25">
      <c r="A7" t="s">
        <v>142</v>
      </c>
      <c r="B7">
        <v>2</v>
      </c>
      <c r="C7" t="s">
        <v>350</v>
      </c>
      <c r="D7" t="s">
        <v>353</v>
      </c>
      <c r="E7" t="s">
        <v>355</v>
      </c>
      <c r="F7" t="s">
        <v>282</v>
      </c>
      <c r="G7" t="s">
        <v>231</v>
      </c>
      <c r="H7" t="s">
        <v>231</v>
      </c>
      <c r="I7" t="s">
        <v>231</v>
      </c>
      <c r="J7" t="s">
        <v>343</v>
      </c>
      <c r="K7">
        <v>1024</v>
      </c>
      <c r="L7" t="s">
        <v>281</v>
      </c>
      <c r="M7">
        <v>15</v>
      </c>
      <c r="T7">
        <v>85.2</v>
      </c>
      <c r="Z7">
        <v>0</v>
      </c>
      <c r="AA7">
        <v>0</v>
      </c>
      <c r="AB7">
        <v>16671</v>
      </c>
      <c r="AC7">
        <v>2498.56</v>
      </c>
      <c r="AF7">
        <v>0</v>
      </c>
      <c r="AG7">
        <v>0</v>
      </c>
      <c r="AH7">
        <v>0</v>
      </c>
      <c r="AI7">
        <v>0</v>
      </c>
      <c r="AJ7">
        <v>2.44</v>
      </c>
      <c r="AK7">
        <v>0</v>
      </c>
      <c r="AM7">
        <v>0</v>
      </c>
      <c r="AN7">
        <v>0</v>
      </c>
      <c r="AS7" t="s">
        <v>344</v>
      </c>
      <c r="AY7" t="s">
        <v>345</v>
      </c>
      <c r="BJ7">
        <v>0</v>
      </c>
      <c r="BO7" t="s">
        <v>108</v>
      </c>
      <c r="BR7" t="s">
        <v>129</v>
      </c>
    </row>
    <row r="8" spans="1:70" x14ac:dyDescent="0.25">
      <c r="A8" t="s">
        <v>144</v>
      </c>
      <c r="B8">
        <v>1</v>
      </c>
      <c r="C8" t="s">
        <v>346</v>
      </c>
      <c r="D8" t="s">
        <v>347</v>
      </c>
      <c r="E8" t="s">
        <v>356</v>
      </c>
      <c r="F8" t="s">
        <v>282</v>
      </c>
      <c r="G8" t="s">
        <v>231</v>
      </c>
      <c r="H8" t="s">
        <v>231</v>
      </c>
      <c r="I8" t="s">
        <v>231</v>
      </c>
      <c r="J8" t="s">
        <v>343</v>
      </c>
      <c r="K8">
        <v>9480</v>
      </c>
      <c r="L8" t="s">
        <v>281</v>
      </c>
      <c r="M8">
        <v>57</v>
      </c>
      <c r="T8">
        <v>731.43</v>
      </c>
      <c r="Z8">
        <v>0</v>
      </c>
      <c r="AA8">
        <v>0</v>
      </c>
      <c r="AB8">
        <v>16671</v>
      </c>
      <c r="AC8">
        <v>19339.2</v>
      </c>
      <c r="AF8">
        <v>0</v>
      </c>
      <c r="AG8">
        <v>0</v>
      </c>
      <c r="AH8">
        <v>0</v>
      </c>
      <c r="AI8">
        <v>0</v>
      </c>
      <c r="AJ8">
        <v>2.04</v>
      </c>
      <c r="AK8">
        <v>0</v>
      </c>
      <c r="AM8">
        <v>0</v>
      </c>
      <c r="AN8">
        <v>0</v>
      </c>
      <c r="AS8" t="s">
        <v>344</v>
      </c>
      <c r="AY8" t="s">
        <v>345</v>
      </c>
      <c r="BJ8">
        <v>0</v>
      </c>
      <c r="BO8" t="s">
        <v>108</v>
      </c>
      <c r="BR8" t="s">
        <v>129</v>
      </c>
    </row>
    <row r="9" spans="1:70" x14ac:dyDescent="0.25">
      <c r="A9" t="s">
        <v>144</v>
      </c>
      <c r="B9">
        <v>2</v>
      </c>
      <c r="C9" t="s">
        <v>346</v>
      </c>
      <c r="D9" t="s">
        <v>347</v>
      </c>
      <c r="E9" t="s">
        <v>357</v>
      </c>
      <c r="F9" t="s">
        <v>282</v>
      </c>
      <c r="G9" t="s">
        <v>231</v>
      </c>
      <c r="H9" t="s">
        <v>231</v>
      </c>
      <c r="I9" t="s">
        <v>231</v>
      </c>
      <c r="J9" t="s">
        <v>343</v>
      </c>
      <c r="K9">
        <v>6760</v>
      </c>
      <c r="L9" t="s">
        <v>281</v>
      </c>
      <c r="M9">
        <v>40</v>
      </c>
      <c r="T9">
        <v>506.38</v>
      </c>
      <c r="Z9">
        <v>0</v>
      </c>
      <c r="AA9">
        <v>0</v>
      </c>
      <c r="AB9">
        <v>16671</v>
      </c>
      <c r="AC9">
        <v>12370.8</v>
      </c>
      <c r="AF9">
        <v>0</v>
      </c>
      <c r="AG9">
        <v>0</v>
      </c>
      <c r="AH9">
        <v>0</v>
      </c>
      <c r="AI9">
        <v>0</v>
      </c>
      <c r="AJ9">
        <v>1.83</v>
      </c>
      <c r="AK9">
        <v>0</v>
      </c>
      <c r="AM9">
        <v>0</v>
      </c>
      <c r="AN9">
        <v>0</v>
      </c>
      <c r="AS9" t="s">
        <v>344</v>
      </c>
      <c r="AY9" t="s">
        <v>345</v>
      </c>
      <c r="BJ9">
        <v>0</v>
      </c>
      <c r="BO9" t="s">
        <v>108</v>
      </c>
      <c r="BR9" t="s">
        <v>129</v>
      </c>
    </row>
    <row r="10" spans="1:70" x14ac:dyDescent="0.25">
      <c r="A10" t="s">
        <v>146</v>
      </c>
      <c r="B10">
        <v>2</v>
      </c>
      <c r="C10" t="s">
        <v>346</v>
      </c>
      <c r="D10" t="s">
        <v>358</v>
      </c>
      <c r="E10" t="s">
        <v>359</v>
      </c>
      <c r="F10" t="s">
        <v>282</v>
      </c>
      <c r="G10" t="s">
        <v>231</v>
      </c>
      <c r="H10" t="s">
        <v>231</v>
      </c>
      <c r="I10" t="s">
        <v>231</v>
      </c>
      <c r="J10" t="s">
        <v>343</v>
      </c>
      <c r="K10">
        <v>184</v>
      </c>
      <c r="L10" t="s">
        <v>281</v>
      </c>
      <c r="M10">
        <v>3</v>
      </c>
      <c r="T10">
        <v>15.864000000000001</v>
      </c>
      <c r="Z10">
        <v>0</v>
      </c>
      <c r="AA10">
        <v>0</v>
      </c>
      <c r="AB10">
        <v>16671</v>
      </c>
      <c r="AC10">
        <v>327.52</v>
      </c>
      <c r="AF10">
        <v>0</v>
      </c>
      <c r="AG10">
        <v>0</v>
      </c>
      <c r="AH10">
        <v>0</v>
      </c>
      <c r="AI10">
        <v>0</v>
      </c>
      <c r="AJ10">
        <v>1.78</v>
      </c>
      <c r="AK10">
        <v>0</v>
      </c>
      <c r="AM10">
        <v>0</v>
      </c>
      <c r="AN10">
        <v>0</v>
      </c>
      <c r="AS10" t="s">
        <v>344</v>
      </c>
      <c r="AY10" t="s">
        <v>345</v>
      </c>
      <c r="BJ10">
        <v>0</v>
      </c>
      <c r="BO10" t="s">
        <v>108</v>
      </c>
      <c r="BR10" t="s">
        <v>129</v>
      </c>
    </row>
    <row r="11" spans="1:70" x14ac:dyDescent="0.25">
      <c r="A11" t="s">
        <v>146</v>
      </c>
      <c r="B11">
        <v>1</v>
      </c>
      <c r="C11" t="s">
        <v>346</v>
      </c>
      <c r="D11" t="s">
        <v>358</v>
      </c>
      <c r="E11" t="s">
        <v>360</v>
      </c>
      <c r="F11" t="s">
        <v>282</v>
      </c>
      <c r="G11" t="s">
        <v>231</v>
      </c>
      <c r="H11" t="s">
        <v>231</v>
      </c>
      <c r="I11" t="s">
        <v>231</v>
      </c>
      <c r="J11" t="s">
        <v>343</v>
      </c>
      <c r="K11">
        <v>126</v>
      </c>
      <c r="L11" t="s">
        <v>281</v>
      </c>
      <c r="M11">
        <v>1</v>
      </c>
      <c r="T11">
        <v>10.022</v>
      </c>
      <c r="Z11">
        <v>0</v>
      </c>
      <c r="AA11">
        <v>0</v>
      </c>
      <c r="AB11">
        <v>16671</v>
      </c>
      <c r="AC11">
        <v>250.74</v>
      </c>
      <c r="AF11">
        <v>0</v>
      </c>
      <c r="AG11">
        <v>0</v>
      </c>
      <c r="AH11">
        <v>0</v>
      </c>
      <c r="AI11">
        <v>0</v>
      </c>
      <c r="AJ11">
        <v>1.99</v>
      </c>
      <c r="AK11">
        <v>0</v>
      </c>
      <c r="AM11">
        <v>0</v>
      </c>
      <c r="AN11">
        <v>0</v>
      </c>
      <c r="AS11" t="s">
        <v>344</v>
      </c>
      <c r="AY11" t="s">
        <v>345</v>
      </c>
      <c r="BJ11">
        <v>0</v>
      </c>
      <c r="BO11" t="s">
        <v>108</v>
      </c>
      <c r="BR11" t="s">
        <v>129</v>
      </c>
    </row>
    <row r="12" spans="1:70" x14ac:dyDescent="0.25">
      <c r="A12" t="s">
        <v>148</v>
      </c>
      <c r="B12">
        <v>1</v>
      </c>
      <c r="C12" t="s">
        <v>361</v>
      </c>
      <c r="D12" t="s">
        <v>362</v>
      </c>
      <c r="E12" t="s">
        <v>363</v>
      </c>
      <c r="F12" t="s">
        <v>231</v>
      </c>
      <c r="G12" t="s">
        <v>231</v>
      </c>
      <c r="H12" t="s">
        <v>231</v>
      </c>
      <c r="I12" t="s">
        <v>231</v>
      </c>
      <c r="J12" t="s">
        <v>364</v>
      </c>
      <c r="K12">
        <v>2</v>
      </c>
      <c r="L12" t="s">
        <v>280</v>
      </c>
      <c r="M12">
        <v>1</v>
      </c>
      <c r="T12">
        <v>0.65</v>
      </c>
      <c r="Z12">
        <v>0</v>
      </c>
      <c r="AA12">
        <v>0</v>
      </c>
      <c r="AB12">
        <v>16671</v>
      </c>
      <c r="AC12">
        <v>2</v>
      </c>
      <c r="AF12">
        <v>0</v>
      </c>
      <c r="AG12">
        <v>0</v>
      </c>
      <c r="AH12">
        <v>0</v>
      </c>
      <c r="AI12">
        <v>0</v>
      </c>
      <c r="AJ12">
        <v>1</v>
      </c>
      <c r="AK12">
        <v>0</v>
      </c>
      <c r="AM12">
        <v>0</v>
      </c>
      <c r="AN12">
        <v>0</v>
      </c>
      <c r="AS12" t="s">
        <v>344</v>
      </c>
      <c r="AY12" t="s">
        <v>345</v>
      </c>
      <c r="BJ12">
        <v>0</v>
      </c>
      <c r="BO12" t="s">
        <v>108</v>
      </c>
      <c r="BR12" t="s">
        <v>129</v>
      </c>
    </row>
    <row r="13" spans="1:70" x14ac:dyDescent="0.25">
      <c r="A13" t="s">
        <v>152</v>
      </c>
      <c r="B13">
        <v>2</v>
      </c>
      <c r="C13" t="s">
        <v>346</v>
      </c>
      <c r="D13" t="s">
        <v>365</v>
      </c>
      <c r="E13" t="s">
        <v>366</v>
      </c>
      <c r="F13" t="s">
        <v>282</v>
      </c>
      <c r="G13" t="s">
        <v>231</v>
      </c>
      <c r="H13" t="s">
        <v>231</v>
      </c>
      <c r="I13" t="s">
        <v>231</v>
      </c>
      <c r="J13" t="s">
        <v>343</v>
      </c>
      <c r="K13">
        <v>561</v>
      </c>
      <c r="L13" t="s">
        <v>281</v>
      </c>
      <c r="M13">
        <v>8</v>
      </c>
      <c r="T13">
        <v>46.16</v>
      </c>
      <c r="Z13">
        <v>0</v>
      </c>
      <c r="AA13">
        <v>0</v>
      </c>
      <c r="AB13">
        <v>16671</v>
      </c>
      <c r="AC13">
        <v>1116.3900000000001</v>
      </c>
      <c r="AF13">
        <v>0</v>
      </c>
      <c r="AG13">
        <v>0</v>
      </c>
      <c r="AH13">
        <v>0</v>
      </c>
      <c r="AI13">
        <v>0</v>
      </c>
      <c r="AJ13">
        <v>1.99</v>
      </c>
      <c r="AK13">
        <v>0</v>
      </c>
      <c r="AM13">
        <v>0</v>
      </c>
      <c r="AN13">
        <v>0</v>
      </c>
      <c r="AS13" t="s">
        <v>344</v>
      </c>
      <c r="AY13" t="s">
        <v>345</v>
      </c>
      <c r="BJ13">
        <v>0</v>
      </c>
      <c r="BO13" t="s">
        <v>108</v>
      </c>
      <c r="BR13" t="s">
        <v>129</v>
      </c>
    </row>
    <row r="14" spans="1:70" x14ac:dyDescent="0.25">
      <c r="A14" t="s">
        <v>152</v>
      </c>
      <c r="B14">
        <v>1</v>
      </c>
      <c r="C14" t="s">
        <v>346</v>
      </c>
      <c r="D14" t="s">
        <v>365</v>
      </c>
      <c r="E14" t="s">
        <v>367</v>
      </c>
      <c r="F14" t="s">
        <v>282</v>
      </c>
      <c r="G14" t="s">
        <v>231</v>
      </c>
      <c r="H14" t="s">
        <v>231</v>
      </c>
      <c r="I14" t="s">
        <v>231</v>
      </c>
      <c r="J14" t="s">
        <v>343</v>
      </c>
      <c r="K14">
        <v>794</v>
      </c>
      <c r="L14" t="s">
        <v>281</v>
      </c>
      <c r="M14">
        <v>7</v>
      </c>
      <c r="T14">
        <v>54.87</v>
      </c>
      <c r="Z14">
        <v>0</v>
      </c>
      <c r="AA14">
        <v>0</v>
      </c>
      <c r="AB14">
        <v>16671</v>
      </c>
      <c r="AC14">
        <v>1611.82</v>
      </c>
      <c r="AF14">
        <v>0</v>
      </c>
      <c r="AG14">
        <v>0</v>
      </c>
      <c r="AH14">
        <v>0</v>
      </c>
      <c r="AI14">
        <v>0</v>
      </c>
      <c r="AJ14">
        <v>2.0299999999999998</v>
      </c>
      <c r="AK14">
        <v>0</v>
      </c>
      <c r="AM14">
        <v>0</v>
      </c>
      <c r="AN14">
        <v>0</v>
      </c>
      <c r="AS14" t="s">
        <v>344</v>
      </c>
      <c r="AY14" t="s">
        <v>345</v>
      </c>
      <c r="BJ14">
        <v>0</v>
      </c>
      <c r="BO14" t="s">
        <v>108</v>
      </c>
      <c r="BR14" t="s">
        <v>129</v>
      </c>
    </row>
    <row r="15" spans="1:70" x14ac:dyDescent="0.25">
      <c r="A15" t="s">
        <v>154</v>
      </c>
      <c r="B15">
        <v>1</v>
      </c>
      <c r="C15" t="s">
        <v>346</v>
      </c>
      <c r="D15" t="s">
        <v>368</v>
      </c>
      <c r="E15" t="s">
        <v>369</v>
      </c>
      <c r="F15" t="s">
        <v>282</v>
      </c>
      <c r="G15" t="s">
        <v>231</v>
      </c>
      <c r="H15" t="s">
        <v>231</v>
      </c>
      <c r="I15" t="s">
        <v>231</v>
      </c>
      <c r="J15" t="s">
        <v>343</v>
      </c>
      <c r="K15">
        <v>882</v>
      </c>
      <c r="L15" t="s">
        <v>281</v>
      </c>
      <c r="M15">
        <v>14</v>
      </c>
      <c r="T15">
        <v>61.984999999999999</v>
      </c>
      <c r="Z15">
        <v>0</v>
      </c>
      <c r="AA15">
        <v>0</v>
      </c>
      <c r="AB15">
        <v>16671</v>
      </c>
      <c r="AC15">
        <v>1834.56</v>
      </c>
      <c r="AF15">
        <v>0</v>
      </c>
      <c r="AG15">
        <v>0</v>
      </c>
      <c r="AH15">
        <v>0</v>
      </c>
      <c r="AI15">
        <v>0</v>
      </c>
      <c r="AJ15">
        <v>2.08</v>
      </c>
      <c r="AK15">
        <v>0</v>
      </c>
      <c r="AM15">
        <v>0</v>
      </c>
      <c r="AN15">
        <v>0</v>
      </c>
      <c r="AS15" t="s">
        <v>344</v>
      </c>
      <c r="AY15" t="s">
        <v>345</v>
      </c>
      <c r="BJ15">
        <v>0</v>
      </c>
      <c r="BO15" t="s">
        <v>108</v>
      </c>
      <c r="BR15" t="s">
        <v>129</v>
      </c>
    </row>
    <row r="16" spans="1:70" x14ac:dyDescent="0.25">
      <c r="A16" t="s">
        <v>154</v>
      </c>
      <c r="B16">
        <v>2</v>
      </c>
      <c r="C16" t="s">
        <v>346</v>
      </c>
      <c r="D16" t="s">
        <v>368</v>
      </c>
      <c r="E16" t="s">
        <v>370</v>
      </c>
      <c r="F16" t="s">
        <v>282</v>
      </c>
      <c r="G16" t="s">
        <v>231</v>
      </c>
      <c r="H16" t="s">
        <v>231</v>
      </c>
      <c r="I16" t="s">
        <v>231</v>
      </c>
      <c r="J16" t="s">
        <v>343</v>
      </c>
      <c r="K16">
        <v>438</v>
      </c>
      <c r="L16" t="s">
        <v>281</v>
      </c>
      <c r="M16">
        <v>6</v>
      </c>
      <c r="T16">
        <v>37.094999999999999</v>
      </c>
      <c r="Z16">
        <v>0</v>
      </c>
      <c r="AA16">
        <v>0</v>
      </c>
      <c r="AB16">
        <v>16671</v>
      </c>
      <c r="AC16">
        <v>893.52</v>
      </c>
      <c r="AF16">
        <v>0</v>
      </c>
      <c r="AG16">
        <v>0</v>
      </c>
      <c r="AH16">
        <v>0</v>
      </c>
      <c r="AI16">
        <v>0</v>
      </c>
      <c r="AJ16">
        <v>2.04</v>
      </c>
      <c r="AK16">
        <v>0</v>
      </c>
      <c r="AM16">
        <v>0</v>
      </c>
      <c r="AN16">
        <v>0</v>
      </c>
      <c r="AS16" t="s">
        <v>344</v>
      </c>
      <c r="AY16" t="s">
        <v>345</v>
      </c>
      <c r="BJ16">
        <v>0</v>
      </c>
      <c r="BO16" t="s">
        <v>108</v>
      </c>
      <c r="BR16" t="s">
        <v>129</v>
      </c>
    </row>
    <row r="17" spans="1:70" x14ac:dyDescent="0.25">
      <c r="A17" t="s">
        <v>156</v>
      </c>
      <c r="B17">
        <v>1</v>
      </c>
      <c r="C17" t="s">
        <v>371</v>
      </c>
      <c r="D17" t="s">
        <v>372</v>
      </c>
      <c r="E17" t="s">
        <v>373</v>
      </c>
      <c r="F17" t="s">
        <v>231</v>
      </c>
      <c r="G17" t="s">
        <v>231</v>
      </c>
      <c r="H17" t="s">
        <v>231</v>
      </c>
      <c r="I17" t="s">
        <v>231</v>
      </c>
      <c r="J17" t="s">
        <v>364</v>
      </c>
      <c r="K17">
        <v>8</v>
      </c>
      <c r="L17" t="s">
        <v>280</v>
      </c>
      <c r="M17">
        <v>1</v>
      </c>
      <c r="T17">
        <v>2.5</v>
      </c>
      <c r="Z17">
        <v>0</v>
      </c>
      <c r="AA17">
        <v>0</v>
      </c>
      <c r="AB17">
        <v>16671</v>
      </c>
      <c r="AC17">
        <v>4</v>
      </c>
      <c r="AF17">
        <v>0</v>
      </c>
      <c r="AG17">
        <v>0</v>
      </c>
      <c r="AH17">
        <v>0</v>
      </c>
      <c r="AI17">
        <v>0</v>
      </c>
      <c r="AJ17">
        <v>0.5</v>
      </c>
      <c r="AK17">
        <v>0</v>
      </c>
      <c r="AM17">
        <v>0</v>
      </c>
      <c r="AN17">
        <v>0</v>
      </c>
      <c r="AS17" t="s">
        <v>344</v>
      </c>
      <c r="AY17" t="s">
        <v>345</v>
      </c>
      <c r="BJ17">
        <v>0</v>
      </c>
      <c r="BO17" t="s">
        <v>108</v>
      </c>
      <c r="BR17" t="s">
        <v>129</v>
      </c>
    </row>
  </sheetData>
  <pageMargins left="0.7" right="0.7" top="0.75" bottom="0.75" header="0.3" footer="0.3"/>
  <pageSetup firstPageNumber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S1"/>
  <sheetViews>
    <sheetView workbookViewId="0"/>
  </sheetViews>
  <sheetFormatPr defaultRowHeight="15" x14ac:dyDescent="0.25"/>
  <cols>
    <col min="1" max="1" width="10.42578125" bestFit="1" customWidth="1"/>
    <col min="2" max="2" width="12.42578125" bestFit="1" customWidth="1"/>
    <col min="3" max="3" width="14.42578125" bestFit="1" customWidth="1"/>
    <col min="4" max="4" width="11.42578125" bestFit="1" customWidth="1"/>
    <col min="6" max="6" width="15.42578125" bestFit="1" customWidth="1"/>
    <col min="7" max="7" width="16.42578125" bestFit="1" customWidth="1"/>
    <col min="8" max="8" width="12.42578125" bestFit="1" customWidth="1"/>
    <col min="9" max="9" width="16.42578125" bestFit="1" customWidth="1"/>
    <col min="10" max="10" width="21.42578125" bestFit="1" customWidth="1"/>
    <col min="11" max="11" width="12.42578125" bestFit="1" customWidth="1"/>
    <col min="12" max="12" width="14.42578125" bestFit="1" customWidth="1"/>
    <col min="13" max="13" width="19.42578125" bestFit="1" customWidth="1"/>
    <col min="14" max="14" width="20.42578125" bestFit="1" customWidth="1"/>
    <col min="15" max="15" width="24.42578125" bestFit="1" customWidth="1"/>
    <col min="16" max="16" width="9.42578125" bestFit="1" customWidth="1"/>
    <col min="17" max="17" width="15.42578125" bestFit="1" customWidth="1"/>
    <col min="18" max="18" width="13.42578125" bestFit="1" customWidth="1"/>
    <col min="19" max="19" width="15.42578125" bestFit="1" customWidth="1"/>
  </cols>
  <sheetData>
    <row r="1" spans="1:19" ht="15.75" x14ac:dyDescent="0.25">
      <c r="A1" s="1" t="s">
        <v>0</v>
      </c>
      <c r="B1" s="1" t="s">
        <v>287</v>
      </c>
      <c r="C1" s="1" t="s">
        <v>374</v>
      </c>
      <c r="D1" s="1" t="s">
        <v>375</v>
      </c>
      <c r="E1" s="1" t="s">
        <v>376</v>
      </c>
      <c r="F1" s="1" t="s">
        <v>223</v>
      </c>
      <c r="G1" s="1" t="s">
        <v>377</v>
      </c>
      <c r="H1" s="1" t="s">
        <v>378</v>
      </c>
      <c r="I1" s="1" t="s">
        <v>379</v>
      </c>
      <c r="J1" s="1" t="s">
        <v>380</v>
      </c>
      <c r="K1" s="1" t="s">
        <v>294</v>
      </c>
      <c r="L1" s="1" t="s">
        <v>295</v>
      </c>
      <c r="M1" s="1" t="s">
        <v>381</v>
      </c>
      <c r="N1" s="1" t="s">
        <v>382</v>
      </c>
      <c r="O1" s="1" t="s">
        <v>383</v>
      </c>
      <c r="P1" s="1" t="s">
        <v>331</v>
      </c>
      <c r="Q1" s="1" t="s">
        <v>384</v>
      </c>
      <c r="R1" s="1" t="s">
        <v>277</v>
      </c>
      <c r="S1" s="1" t="s">
        <v>278</v>
      </c>
    </row>
  </sheetData>
  <pageMargins left="0.7" right="0.7" top="0.75" bottom="0.75" header="0.3" footer="0.3"/>
  <pageSetup firstPageNumber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D1"/>
  <sheetViews>
    <sheetView workbookViewId="0"/>
  </sheetViews>
  <sheetFormatPr defaultRowHeight="15" x14ac:dyDescent="0.25"/>
  <cols>
    <col min="1" max="1" width="10.42578125" bestFit="1" customWidth="1"/>
    <col min="2" max="2" width="12.42578125" bestFit="1" customWidth="1"/>
    <col min="3" max="3" width="13.42578125" bestFit="1" customWidth="1"/>
    <col min="4" max="4" width="10.42578125" bestFit="1" customWidth="1"/>
  </cols>
  <sheetData>
    <row r="1" spans="1:4" ht="15.75" x14ac:dyDescent="0.25">
      <c r="A1" s="1" t="s">
        <v>0</v>
      </c>
      <c r="B1" s="1" t="s">
        <v>287</v>
      </c>
      <c r="C1" s="1" t="s">
        <v>385</v>
      </c>
      <c r="D1" s="1" t="s">
        <v>325</v>
      </c>
    </row>
  </sheetData>
  <pageMargins left="0.7" right="0.7" top="0.75" bottom="0.75" header="0.3" footer="0.3"/>
  <pageSetup firstPageNumber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C1"/>
  <sheetViews>
    <sheetView workbookViewId="0"/>
  </sheetViews>
  <sheetFormatPr defaultRowHeight="15" x14ac:dyDescent="0.25"/>
  <cols>
    <col min="1" max="1" width="10.42578125" bestFit="1" customWidth="1"/>
    <col min="2" max="2" width="12.42578125" bestFit="1" customWidth="1"/>
    <col min="3" max="3" width="13.42578125" bestFit="1" customWidth="1"/>
  </cols>
  <sheetData>
    <row r="1" spans="1:3" ht="15.75" x14ac:dyDescent="0.25">
      <c r="A1" s="1" t="s">
        <v>0</v>
      </c>
      <c r="B1" s="1" t="s">
        <v>287</v>
      </c>
      <c r="C1" s="1" t="s">
        <v>386</v>
      </c>
    </row>
  </sheetData>
  <pageMargins left="0.7" right="0.7" top="0.75" bottom="0.75" header="0.3" footer="0.3"/>
  <pageSetup firstPageNumber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D1"/>
  <sheetViews>
    <sheetView workbookViewId="0"/>
  </sheetViews>
  <sheetFormatPr defaultRowHeight="15" x14ac:dyDescent="0.25"/>
  <cols>
    <col min="1" max="1" width="10.42578125" bestFit="1" customWidth="1"/>
    <col min="2" max="2" width="12.42578125" bestFit="1" customWidth="1"/>
  </cols>
  <sheetData>
    <row r="1" spans="1:4" ht="15.75" x14ac:dyDescent="0.25">
      <c r="A1" s="1" t="s">
        <v>0</v>
      </c>
      <c r="B1" s="1" t="s">
        <v>287</v>
      </c>
      <c r="C1" s="1" t="s">
        <v>387</v>
      </c>
      <c r="D1" s="1" t="s">
        <v>290</v>
      </c>
    </row>
  </sheetData>
  <pageMargins left="0.7" right="0.7" top="0.75" bottom="0.75" header="0.3" footer="0.3"/>
  <pageSetup firstPageNumber="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G1"/>
  <sheetViews>
    <sheetView workbookViewId="0"/>
  </sheetViews>
  <sheetFormatPr defaultRowHeight="15" x14ac:dyDescent="0.25"/>
  <cols>
    <col min="1" max="1" width="10.42578125" bestFit="1" customWidth="1"/>
    <col min="2" max="2" width="12.42578125" bestFit="1" customWidth="1"/>
    <col min="4" max="4" width="13.42578125" bestFit="1" customWidth="1"/>
    <col min="5" max="5" width="15.42578125" bestFit="1" customWidth="1"/>
    <col min="6" max="6" width="16.42578125" bestFit="1" customWidth="1"/>
    <col min="7" max="7" width="12.42578125" bestFit="1" customWidth="1"/>
  </cols>
  <sheetData>
    <row r="1" spans="1:7" ht="15.75" x14ac:dyDescent="0.25">
      <c r="A1" s="1" t="s">
        <v>0</v>
      </c>
      <c r="B1" s="1" t="s">
        <v>287</v>
      </c>
      <c r="C1" s="1" t="s">
        <v>388</v>
      </c>
      <c r="D1" s="1" t="s">
        <v>61</v>
      </c>
      <c r="E1" s="1" t="s">
        <v>66</v>
      </c>
      <c r="F1" s="1" t="s">
        <v>67</v>
      </c>
      <c r="G1" s="1" t="s">
        <v>389</v>
      </c>
    </row>
  </sheetData>
  <pageMargins left="0.7" right="0.7" top="0.75" bottom="0.75" header="0.3" footer="0.3"/>
  <pageSetup firstPageNumber="0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AO1"/>
  <sheetViews>
    <sheetView workbookViewId="0"/>
  </sheetViews>
  <sheetFormatPr defaultRowHeight="15" x14ac:dyDescent="0.25"/>
  <cols>
    <col min="1" max="1" width="10.42578125" bestFit="1" customWidth="1"/>
    <col min="2" max="2" width="12.42578125" bestFit="1" customWidth="1"/>
    <col min="3" max="3" width="16.42578125" bestFit="1" customWidth="1"/>
    <col min="4" max="4" width="21.42578125" bestFit="1" customWidth="1"/>
    <col min="6" max="6" width="12.42578125" bestFit="1" customWidth="1"/>
    <col min="11" max="11" width="17.42578125" bestFit="1" customWidth="1"/>
    <col min="12" max="12" width="12.42578125" bestFit="1" customWidth="1"/>
    <col min="13" max="13" width="14.42578125" bestFit="1" customWidth="1"/>
    <col min="14" max="14" width="13.42578125" bestFit="1" customWidth="1"/>
    <col min="15" max="15" width="15.42578125" bestFit="1" customWidth="1"/>
    <col min="16" max="16" width="18.42578125" bestFit="1" customWidth="1"/>
    <col min="17" max="17" width="17.42578125" bestFit="1" customWidth="1"/>
    <col min="18" max="18" width="18.42578125" bestFit="1" customWidth="1"/>
    <col min="19" max="19" width="20.42578125" bestFit="1" customWidth="1"/>
    <col min="20" max="20" width="15.42578125" bestFit="1" customWidth="1"/>
    <col min="21" max="21" width="17.42578125" bestFit="1" customWidth="1"/>
    <col min="26" max="26" width="11.42578125" bestFit="1" customWidth="1"/>
    <col min="28" max="28" width="17.42578125" bestFit="1" customWidth="1"/>
    <col min="29" max="29" width="16.42578125" bestFit="1" customWidth="1"/>
    <col min="30" max="30" width="11.42578125" bestFit="1" customWidth="1"/>
    <col min="31" max="31" width="10.42578125" bestFit="1" customWidth="1"/>
    <col min="33" max="33" width="9.42578125" bestFit="1" customWidth="1"/>
    <col min="34" max="34" width="18.42578125" bestFit="1" customWidth="1"/>
    <col min="35" max="35" width="22.42578125" bestFit="1" customWidth="1"/>
    <col min="36" max="36" width="9.42578125" bestFit="1" customWidth="1"/>
    <col min="37" max="37" width="16.42578125" bestFit="1" customWidth="1"/>
    <col min="38" max="39" width="18.42578125" bestFit="1" customWidth="1"/>
    <col min="40" max="40" width="10.42578125" bestFit="1" customWidth="1"/>
    <col min="41" max="41" width="12.42578125" bestFit="1" customWidth="1"/>
  </cols>
  <sheetData>
    <row r="1" spans="1:41" ht="15.75" x14ac:dyDescent="0.25">
      <c r="A1" s="1" t="s">
        <v>0</v>
      </c>
      <c r="B1" s="1" t="s">
        <v>287</v>
      </c>
      <c r="C1" s="1" t="s">
        <v>390</v>
      </c>
      <c r="D1" s="1" t="s">
        <v>391</v>
      </c>
      <c r="E1" s="1" t="s">
        <v>288</v>
      </c>
      <c r="F1" s="1" t="s">
        <v>289</v>
      </c>
      <c r="G1" s="1" t="s">
        <v>290</v>
      </c>
      <c r="H1" s="1" t="s">
        <v>279</v>
      </c>
      <c r="I1" s="1" t="s">
        <v>291</v>
      </c>
      <c r="J1" s="1" t="s">
        <v>292</v>
      </c>
      <c r="K1" s="1" t="s">
        <v>293</v>
      </c>
      <c r="L1" s="1" t="s">
        <v>294</v>
      </c>
      <c r="M1" s="1" t="s">
        <v>295</v>
      </c>
      <c r="N1" s="1" t="s">
        <v>277</v>
      </c>
      <c r="O1" s="1" t="s">
        <v>278</v>
      </c>
      <c r="P1" s="1" t="s">
        <v>296</v>
      </c>
      <c r="Q1" s="1" t="s">
        <v>297</v>
      </c>
      <c r="R1" s="1" t="s">
        <v>298</v>
      </c>
      <c r="S1" s="1" t="s">
        <v>299</v>
      </c>
      <c r="T1" s="1" t="s">
        <v>300</v>
      </c>
      <c r="U1" s="1" t="s">
        <v>301</v>
      </c>
      <c r="V1" s="1" t="s">
        <v>77</v>
      </c>
      <c r="W1" s="1" t="s">
        <v>76</v>
      </c>
      <c r="X1" s="1" t="s">
        <v>78</v>
      </c>
      <c r="Y1" s="1" t="s">
        <v>69</v>
      </c>
      <c r="Z1" s="1" t="s">
        <v>305</v>
      </c>
      <c r="AA1" s="1" t="s">
        <v>71</v>
      </c>
      <c r="AB1" s="1" t="s">
        <v>308</v>
      </c>
      <c r="AC1" s="1" t="s">
        <v>309</v>
      </c>
      <c r="AD1" s="1" t="s">
        <v>74</v>
      </c>
      <c r="AE1" s="1" t="s">
        <v>325</v>
      </c>
      <c r="AF1" s="1" t="s">
        <v>392</v>
      </c>
      <c r="AG1" s="1" t="s">
        <v>328</v>
      </c>
      <c r="AH1" s="1" t="s">
        <v>329</v>
      </c>
      <c r="AI1" s="1" t="s">
        <v>330</v>
      </c>
      <c r="AJ1" s="1" t="s">
        <v>331</v>
      </c>
      <c r="AK1" s="1" t="s">
        <v>332</v>
      </c>
      <c r="AL1" s="1" t="s">
        <v>333</v>
      </c>
      <c r="AM1" s="1" t="s">
        <v>334</v>
      </c>
      <c r="AN1" s="1" t="s">
        <v>335</v>
      </c>
      <c r="AO1" s="1" t="s">
        <v>336</v>
      </c>
    </row>
  </sheetData>
  <pageMargins left="0.7" right="0.7" top="0.75" bottom="0.75" header="0.3" footer="0.3"/>
  <pageSetup firstPageNumber="0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Y1"/>
  <sheetViews>
    <sheetView workbookViewId="0"/>
  </sheetViews>
  <sheetFormatPr defaultRowHeight="15" x14ac:dyDescent="0.25"/>
  <cols>
    <col min="1" max="1" width="10.42578125" bestFit="1" customWidth="1"/>
    <col min="2" max="2" width="12.42578125" bestFit="1" customWidth="1"/>
    <col min="3" max="3" width="16.42578125" bestFit="1" customWidth="1"/>
    <col min="4" max="4" width="21.42578125" bestFit="1" customWidth="1"/>
    <col min="5" max="5" width="14.42578125" bestFit="1" customWidth="1"/>
    <col min="6" max="6" width="11.42578125" bestFit="1" customWidth="1"/>
    <col min="8" max="8" width="15.42578125" bestFit="1" customWidth="1"/>
    <col min="9" max="9" width="16.42578125" bestFit="1" customWidth="1"/>
    <col min="10" max="10" width="12.42578125" bestFit="1" customWidth="1"/>
    <col min="11" max="11" width="16.42578125" bestFit="1" customWidth="1"/>
    <col min="12" max="12" width="21.42578125" bestFit="1" customWidth="1"/>
    <col min="13" max="13" width="12.42578125" bestFit="1" customWidth="1"/>
    <col min="14" max="14" width="14.42578125" bestFit="1" customWidth="1"/>
    <col min="15" max="15" width="19.42578125" bestFit="1" customWidth="1"/>
    <col min="16" max="16" width="20.42578125" bestFit="1" customWidth="1"/>
    <col min="17" max="17" width="24.42578125" bestFit="1" customWidth="1"/>
    <col min="18" max="18" width="9.42578125" bestFit="1" customWidth="1"/>
    <col min="19" max="19" width="15.42578125" bestFit="1" customWidth="1"/>
    <col min="20" max="20" width="13.42578125" bestFit="1" customWidth="1"/>
    <col min="21" max="21" width="24.42578125" bestFit="1" customWidth="1"/>
    <col min="22" max="22" width="9.42578125" bestFit="1" customWidth="1"/>
    <col min="23" max="23" width="15.42578125" bestFit="1" customWidth="1"/>
    <col min="24" max="24" width="13.42578125" bestFit="1" customWidth="1"/>
    <col min="25" max="25" width="15.42578125" bestFit="1" customWidth="1"/>
  </cols>
  <sheetData>
    <row r="1" spans="1:25" ht="15.75" x14ac:dyDescent="0.25">
      <c r="A1" s="1" t="s">
        <v>0</v>
      </c>
      <c r="B1" s="1" t="s">
        <v>287</v>
      </c>
      <c r="C1" s="1" t="s">
        <v>390</v>
      </c>
      <c r="D1" s="1" t="s">
        <v>391</v>
      </c>
      <c r="E1" s="1" t="s">
        <v>374</v>
      </c>
      <c r="F1" s="1" t="s">
        <v>375</v>
      </c>
      <c r="G1" s="1" t="s">
        <v>376</v>
      </c>
      <c r="H1" s="1" t="s">
        <v>223</v>
      </c>
      <c r="I1" s="1" t="s">
        <v>377</v>
      </c>
      <c r="J1" s="1" t="s">
        <v>378</v>
      </c>
      <c r="K1" s="1" t="s">
        <v>379</v>
      </c>
      <c r="L1" s="1" t="s">
        <v>380</v>
      </c>
      <c r="M1" s="1" t="s">
        <v>294</v>
      </c>
      <c r="N1" s="1" t="s">
        <v>295</v>
      </c>
      <c r="O1" s="1" t="s">
        <v>381</v>
      </c>
      <c r="P1" s="1" t="s">
        <v>382</v>
      </c>
      <c r="Q1" s="1" t="s">
        <v>383</v>
      </c>
      <c r="R1" s="1" t="s">
        <v>331</v>
      </c>
      <c r="S1" s="1" t="s">
        <v>384</v>
      </c>
      <c r="T1" s="1" t="s">
        <v>277</v>
      </c>
      <c r="U1" s="1" t="s">
        <v>383</v>
      </c>
      <c r="V1" s="1" t="s">
        <v>331</v>
      </c>
      <c r="W1" s="1" t="s">
        <v>384</v>
      </c>
      <c r="X1" s="1" t="s">
        <v>277</v>
      </c>
      <c r="Y1" s="1" t="s">
        <v>278</v>
      </c>
    </row>
  </sheetData>
  <pageMargins left="0.7" right="0.7" top="0.75" bottom="0.75" header="0.3" footer="0.3"/>
  <pageSetup firstPageNumber="0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F1"/>
  <sheetViews>
    <sheetView workbookViewId="0"/>
  </sheetViews>
  <sheetFormatPr defaultRowHeight="15" x14ac:dyDescent="0.25"/>
  <cols>
    <col min="1" max="1" width="10.42578125" bestFit="1" customWidth="1"/>
    <col min="2" max="2" width="12.42578125" bestFit="1" customWidth="1"/>
    <col min="3" max="3" width="16.42578125" bestFit="1" customWidth="1"/>
    <col min="4" max="4" width="21.42578125" bestFit="1" customWidth="1"/>
    <col min="5" max="5" width="13.42578125" bestFit="1" customWidth="1"/>
    <col min="6" max="6" width="10.42578125" bestFit="1" customWidth="1"/>
  </cols>
  <sheetData>
    <row r="1" spans="1:6" ht="15.75" x14ac:dyDescent="0.25">
      <c r="A1" s="1" t="s">
        <v>0</v>
      </c>
      <c r="B1" s="1" t="s">
        <v>287</v>
      </c>
      <c r="C1" s="1" t="s">
        <v>390</v>
      </c>
      <c r="D1" s="1" t="s">
        <v>393</v>
      </c>
      <c r="E1" s="1" t="s">
        <v>385</v>
      </c>
      <c r="F1" s="1" t="s">
        <v>325</v>
      </c>
    </row>
  </sheetData>
  <pageMargins left="0.7" right="0.7" top="0.75" bottom="0.75" header="0.3" footer="0.3"/>
  <pageSetup firstPageNumber="0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E1"/>
  <sheetViews>
    <sheetView workbookViewId="0"/>
  </sheetViews>
  <sheetFormatPr defaultRowHeight="15" x14ac:dyDescent="0.25"/>
  <cols>
    <col min="1" max="1" width="10.42578125" bestFit="1" customWidth="1"/>
    <col min="2" max="2" width="21.42578125" bestFit="1" customWidth="1"/>
    <col min="3" max="3" width="20.42578125" bestFit="1" customWidth="1"/>
    <col min="4" max="4" width="15.42578125" bestFit="1" customWidth="1"/>
    <col min="5" max="5" width="13.42578125" bestFit="1" customWidth="1"/>
  </cols>
  <sheetData>
    <row r="1" spans="1:5" ht="15.75" x14ac:dyDescent="0.25">
      <c r="A1" s="1" t="s">
        <v>0</v>
      </c>
      <c r="B1" s="1" t="s">
        <v>161</v>
      </c>
      <c r="C1" s="1" t="s">
        <v>162</v>
      </c>
      <c r="D1" s="1" t="s">
        <v>163</v>
      </c>
      <c r="E1" s="1" t="s">
        <v>164</v>
      </c>
    </row>
  </sheetData>
  <pageMargins left="0.7" right="0.7" top="0.75" bottom="0.75" header="0.3" footer="0.3"/>
  <pageSetup firstPageNumber="0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J1"/>
  <sheetViews>
    <sheetView workbookViewId="0"/>
  </sheetViews>
  <sheetFormatPr defaultRowHeight="15" x14ac:dyDescent="0.25"/>
  <cols>
    <col min="1" max="1" width="10.42578125" bestFit="1" customWidth="1"/>
    <col min="2" max="2" width="12.42578125" bestFit="1" customWidth="1"/>
    <col min="3" max="3" width="13.42578125" bestFit="1" customWidth="1"/>
    <col min="4" max="4" width="14.42578125" bestFit="1" customWidth="1"/>
    <col min="5" max="5" width="16.42578125" bestFit="1" customWidth="1"/>
    <col min="6" max="6" width="14.42578125" bestFit="1" customWidth="1"/>
    <col min="7" max="7" width="9.42578125" bestFit="1" customWidth="1"/>
    <col min="8" max="8" width="20.42578125" bestFit="1" customWidth="1"/>
    <col min="9" max="9" width="10.42578125" bestFit="1" customWidth="1"/>
    <col min="10" max="10" width="12.42578125" bestFit="1" customWidth="1"/>
  </cols>
  <sheetData>
    <row r="1" spans="1:10" ht="15.75" x14ac:dyDescent="0.25">
      <c r="A1" s="1" t="s">
        <v>0</v>
      </c>
      <c r="B1" s="1" t="s">
        <v>2</v>
      </c>
      <c r="C1" s="1" t="s">
        <v>394</v>
      </c>
      <c r="D1" s="1" t="s">
        <v>395</v>
      </c>
      <c r="E1" s="1" t="s">
        <v>396</v>
      </c>
      <c r="F1" s="1" t="s">
        <v>397</v>
      </c>
      <c r="G1" s="1" t="s">
        <v>398</v>
      </c>
      <c r="H1" s="1" t="s">
        <v>399</v>
      </c>
      <c r="I1" s="1" t="s">
        <v>400</v>
      </c>
      <c r="J1" s="1" t="s">
        <v>401</v>
      </c>
    </row>
  </sheetData>
  <pageMargins left="0.7" right="0.7" top="0.75" bottom="0.75" header="0.3" footer="0.3"/>
  <pageSetup firstPageNumber="0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D11"/>
  <sheetViews>
    <sheetView workbookViewId="0"/>
  </sheetViews>
  <sheetFormatPr defaultRowHeight="15" x14ac:dyDescent="0.25"/>
  <cols>
    <col min="1" max="1" width="27.42578125" bestFit="1" customWidth="1"/>
    <col min="4" max="4" width="9.42578125" bestFit="1" customWidth="1"/>
  </cols>
  <sheetData>
    <row r="1" spans="1:4" ht="15.75" x14ac:dyDescent="0.25">
      <c r="A1" s="1" t="s">
        <v>0</v>
      </c>
      <c r="B1" s="1" t="s">
        <v>165</v>
      </c>
      <c r="C1" s="1" t="s">
        <v>387</v>
      </c>
      <c r="D1" s="1" t="s">
        <v>402</v>
      </c>
    </row>
    <row r="2" spans="1:4" x14ac:dyDescent="0.25">
      <c r="A2" t="s">
        <v>104</v>
      </c>
      <c r="B2">
        <v>1</v>
      </c>
      <c r="C2" t="s">
        <v>110</v>
      </c>
      <c r="D2" t="s">
        <v>403</v>
      </c>
    </row>
    <row r="3" spans="1:4" x14ac:dyDescent="0.25">
      <c r="A3" t="s">
        <v>130</v>
      </c>
      <c r="B3">
        <v>1</v>
      </c>
      <c r="C3" t="s">
        <v>110</v>
      </c>
      <c r="D3" t="s">
        <v>403</v>
      </c>
    </row>
    <row r="4" spans="1:4" x14ac:dyDescent="0.25">
      <c r="A4" t="s">
        <v>139</v>
      </c>
      <c r="B4">
        <v>1</v>
      </c>
      <c r="C4" t="s">
        <v>110</v>
      </c>
      <c r="D4" t="s">
        <v>403</v>
      </c>
    </row>
    <row r="5" spans="1:4" x14ac:dyDescent="0.25">
      <c r="A5" t="s">
        <v>142</v>
      </c>
      <c r="B5">
        <v>1</v>
      </c>
      <c r="C5" t="s">
        <v>110</v>
      </c>
      <c r="D5" t="s">
        <v>403</v>
      </c>
    </row>
    <row r="6" spans="1:4" x14ac:dyDescent="0.25">
      <c r="A6" t="s">
        <v>144</v>
      </c>
      <c r="B6">
        <v>1</v>
      </c>
      <c r="C6" t="s">
        <v>110</v>
      </c>
      <c r="D6" t="s">
        <v>403</v>
      </c>
    </row>
    <row r="7" spans="1:4" x14ac:dyDescent="0.25">
      <c r="A7" t="s">
        <v>146</v>
      </c>
      <c r="B7">
        <v>1</v>
      </c>
      <c r="C7" t="s">
        <v>110</v>
      </c>
      <c r="D7" t="s">
        <v>403</v>
      </c>
    </row>
    <row r="8" spans="1:4" x14ac:dyDescent="0.25">
      <c r="A8" t="s">
        <v>148</v>
      </c>
      <c r="B8">
        <v>1</v>
      </c>
      <c r="C8" t="s">
        <v>110</v>
      </c>
      <c r="D8" t="s">
        <v>403</v>
      </c>
    </row>
    <row r="9" spans="1:4" x14ac:dyDescent="0.25">
      <c r="A9" t="s">
        <v>152</v>
      </c>
      <c r="B9">
        <v>1</v>
      </c>
      <c r="C9" t="s">
        <v>110</v>
      </c>
      <c r="D9" t="s">
        <v>403</v>
      </c>
    </row>
    <row r="10" spans="1:4" x14ac:dyDescent="0.25">
      <c r="A10" t="s">
        <v>154</v>
      </c>
      <c r="B10">
        <v>1</v>
      </c>
      <c r="C10" t="s">
        <v>110</v>
      </c>
      <c r="D10" t="s">
        <v>403</v>
      </c>
    </row>
    <row r="11" spans="1:4" x14ac:dyDescent="0.25">
      <c r="A11" t="s">
        <v>156</v>
      </c>
      <c r="B11">
        <v>1</v>
      </c>
      <c r="C11" t="s">
        <v>110</v>
      </c>
      <c r="D11" t="s">
        <v>403</v>
      </c>
    </row>
  </sheetData>
  <pageMargins left="0.7" right="0.7" top="0.75" bottom="0.75" header="0.3" footer="0.3"/>
  <pageSetup firstPageNumber="0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A2"/>
  <sheetViews>
    <sheetView workbookViewId="0"/>
  </sheetViews>
  <sheetFormatPr defaultRowHeight="15" x14ac:dyDescent="0.25"/>
  <sheetData>
    <row r="1" spans="1:1" ht="15.75" x14ac:dyDescent="0.25">
      <c r="A1" s="2" t="s">
        <v>421</v>
      </c>
    </row>
    <row r="2" spans="1:1" x14ac:dyDescent="0.25">
      <c r="A2" t="s">
        <v>422</v>
      </c>
    </row>
  </sheetData>
  <pageMargins left="0.7" right="0.7" top="0.75" bottom="0.75" header="0.3" footer="0.3"/>
  <pageSetup firstPageNumber="0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D11"/>
  <sheetViews>
    <sheetView workbookViewId="0"/>
  </sheetViews>
  <sheetFormatPr defaultRowHeight="15" x14ac:dyDescent="0.25"/>
  <cols>
    <col min="1" max="1" width="27.42578125" bestFit="1" customWidth="1"/>
    <col min="2" max="2" width="12.42578125" bestFit="1" customWidth="1"/>
    <col min="3" max="3" width="21.42578125" bestFit="1" customWidth="1"/>
    <col min="4" max="4" width="15.42578125" bestFit="1" customWidth="1"/>
  </cols>
  <sheetData>
    <row r="1" spans="1:4" x14ac:dyDescent="0.25">
      <c r="A1" t="s">
        <v>0</v>
      </c>
      <c r="B1" t="s">
        <v>423</v>
      </c>
      <c r="C1" t="s">
        <v>424</v>
      </c>
      <c r="D1" t="s">
        <v>425</v>
      </c>
    </row>
    <row r="2" spans="1:4" x14ac:dyDescent="0.25">
      <c r="A2" t="s">
        <v>148</v>
      </c>
      <c r="B2" t="s">
        <v>426</v>
      </c>
      <c r="C2" t="s">
        <v>427</v>
      </c>
      <c r="D2" t="s">
        <v>121</v>
      </c>
    </row>
    <row r="3" spans="1:4" x14ac:dyDescent="0.25">
      <c r="A3" t="s">
        <v>146</v>
      </c>
      <c r="B3" t="s">
        <v>426</v>
      </c>
      <c r="C3" t="s">
        <v>428</v>
      </c>
      <c r="D3" t="s">
        <v>121</v>
      </c>
    </row>
    <row r="4" spans="1:4" x14ac:dyDescent="0.25">
      <c r="A4" t="s">
        <v>144</v>
      </c>
      <c r="B4" t="s">
        <v>426</v>
      </c>
      <c r="C4" t="s">
        <v>429</v>
      </c>
      <c r="D4" t="s">
        <v>121</v>
      </c>
    </row>
    <row r="5" spans="1:4" x14ac:dyDescent="0.25">
      <c r="A5" t="s">
        <v>139</v>
      </c>
      <c r="B5" t="s">
        <v>426</v>
      </c>
      <c r="C5" t="s">
        <v>430</v>
      </c>
      <c r="D5" t="s">
        <v>121</v>
      </c>
    </row>
    <row r="6" spans="1:4" x14ac:dyDescent="0.25">
      <c r="A6" t="s">
        <v>130</v>
      </c>
      <c r="B6" t="s">
        <v>426</v>
      </c>
      <c r="C6" t="s">
        <v>431</v>
      </c>
      <c r="D6" t="s">
        <v>121</v>
      </c>
    </row>
    <row r="7" spans="1:4" x14ac:dyDescent="0.25">
      <c r="A7" t="s">
        <v>142</v>
      </c>
      <c r="B7" t="s">
        <v>426</v>
      </c>
      <c r="C7" t="s">
        <v>432</v>
      </c>
      <c r="D7" t="s">
        <v>121</v>
      </c>
    </row>
    <row r="8" spans="1:4" x14ac:dyDescent="0.25">
      <c r="A8" t="s">
        <v>154</v>
      </c>
      <c r="B8" t="s">
        <v>426</v>
      </c>
      <c r="C8" t="s">
        <v>433</v>
      </c>
      <c r="D8" t="s">
        <v>121</v>
      </c>
    </row>
    <row r="9" spans="1:4" x14ac:dyDescent="0.25">
      <c r="A9" t="s">
        <v>152</v>
      </c>
      <c r="B9" t="s">
        <v>426</v>
      </c>
      <c r="C9" t="s">
        <v>434</v>
      </c>
      <c r="D9" t="s">
        <v>121</v>
      </c>
    </row>
    <row r="10" spans="1:4" x14ac:dyDescent="0.25">
      <c r="A10" t="s">
        <v>104</v>
      </c>
      <c r="B10" t="s">
        <v>426</v>
      </c>
      <c r="C10" t="s">
        <v>435</v>
      </c>
      <c r="D10" t="s">
        <v>121</v>
      </c>
    </row>
    <row r="11" spans="1:4" x14ac:dyDescent="0.25">
      <c r="A11" t="s">
        <v>156</v>
      </c>
      <c r="B11" t="s">
        <v>426</v>
      </c>
      <c r="C11" t="s">
        <v>436</v>
      </c>
      <c r="D11" t="s">
        <v>121</v>
      </c>
    </row>
  </sheetData>
  <pageMargins left="0.7" right="0.7" top="0.75" bottom="0.75" header="0.3" footer="0.3"/>
  <pageSetup firstPageNumber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HEADER</vt:lpstr>
      <vt:lpstr>ENTITAS</vt:lpstr>
      <vt:lpstr>DOKUMEN</vt:lpstr>
      <vt:lpstr>PENGANGKUT</vt:lpstr>
      <vt:lpstr>KEMASAN</vt:lpstr>
      <vt:lpstr>KONTAINER</vt:lpstr>
      <vt:lpstr>KOMPONENBIAYA</vt:lpstr>
      <vt:lpstr>BARANG</vt:lpstr>
      <vt:lpstr>BARANGTARIF</vt:lpstr>
      <vt:lpstr>BARANGDOKUMEN</vt:lpstr>
      <vt:lpstr>BARANGENTITAS</vt:lpstr>
      <vt:lpstr>BARANGSPEKKHUSUS</vt:lpstr>
      <vt:lpstr>BARANGVD</vt:lpstr>
      <vt:lpstr>BAHANBAKU</vt:lpstr>
      <vt:lpstr>BAHANBAKUTARIF</vt:lpstr>
      <vt:lpstr>BAHANBAKUDOKUMEN</vt:lpstr>
      <vt:lpstr>PUNGUTAN</vt:lpstr>
      <vt:lpstr>JAMINAN</vt:lpstr>
      <vt:lpstr>BANKDEVISA</vt:lpstr>
      <vt:lpstr>VERSI</vt:lpstr>
      <vt:lpstr>RESPON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Dokumen Tanggal 04-12-2025.xlsx</dc:creator>
  <cp:lastModifiedBy>ADMEXIM3</cp:lastModifiedBy>
  <dcterms:created xsi:type="dcterms:W3CDTF">2026-01-15T02:11:53Z</dcterms:created>
  <dcterms:modified xsi:type="dcterms:W3CDTF">2026-01-15T02:13:28Z</dcterms:modified>
</cp:coreProperties>
</file>